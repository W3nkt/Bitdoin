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quirements" sheetId="2" state="visible" r:id="rId4"/>
    <sheet name="WBS &amp; Backlog" sheetId="3" state="visible" r:id="rId5"/>
    <sheet name="Effort Summary" sheetId="4" state="visible" r:id="rId6"/>
    <sheet name="Decisions" sheetId="5" state="visible" r:id="rId7"/>
    <sheet name="Risks" sheetId="6" state="visible" r:id="rId8"/>
  </sheets>
  <definedNames>
    <definedName function="false" hidden="true" localSheetId="4" name="_xlnm._FilterDatabase" vbProcedure="false">Decisions!$A$1:$H$21</definedName>
    <definedName function="false" hidden="true" localSheetId="1" name="_xlnm._FilterDatabase" vbProcedure="false">Requirements!$A$1:$J$141</definedName>
    <definedName function="false" hidden="true" localSheetId="5" name="_xlnm._FilterDatabase" vbProcedure="false">Risks!$A$1:$H$16</definedName>
    <definedName function="false" hidden="true" localSheetId="2" name="_xlnm._FilterDatabase" vbProcedure="false">'WBS &amp; Backlog'!$A$1:$P$56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<sst xmlns="http://schemas.openxmlformats.org/spreadsheetml/2006/main" count="1897" uniqueCount="1005">
  <si>
    <t xml:space="preserve">Bitdoin Academy — Academic Tracking &amp; Career Guidance: MVP Backlog &amp; Requirements Matrix</t>
  </si>
  <si>
    <t xml:space="preserve">Companion to: Bitdoin_Academic_Tracking_PRD_v1.0.docx (23 October 2026, draft for owner review)</t>
  </si>
  <si>
    <t xml:space="preserve">Sheets</t>
  </si>
  <si>
    <t xml:space="preserve">Requirements — Deliverable B: every requirement with epic, phase, priority, dependencies and Given/When/Then acceptance criteria. Filter Phase = 1 and Priority = P0 for the MVP.</t>
  </si>
  <si>
    <t xml:space="preserve">WBS &amp; Backlog — work breakdown structure for Phase 0 and Phase 1 (detailed) plus epic placeholders for Phases 2–5. Columns map to Jira/Linear/GitHub Issues fields (Summary, Description, Priority, Labels, Estimate).</t>
  </si>
  <si>
    <t xml:space="preserve">Effort Summary — formulas that total the WBS by phase and workstream, with an editable contingency %.</t>
  </si>
  <si>
    <t xml:space="preserve">Decisions — open decisions (OD-xx) the owner must make; add the decision and date in the yellow columns.</t>
  </si>
  <si>
    <t xml:space="preserve">Risks — prioritised risk register.</t>
  </si>
  <si>
    <t xml:space="preserve">How to edit</t>
  </si>
  <si>
    <t xml:space="preserve">Yellow cells are inputs: Status, Owner/Assignee, Sprint, Contingency %, and the decision columns. Everything else comes from the PRD; keep IDs stable so cross-references remain valid.</t>
  </si>
  <si>
    <t xml:space="preserve">Estimates are ideal person-days. T-shirt sizes: XS 0.5–1, S 1–2, M 3–5, L 6–10, XL 11–15; 'Epic' rows carry roadmap ranges and must be decomposed at phase start.</t>
  </si>
  <si>
    <t xml:space="preserve">Priority: P0 must-have for its phase (P0 in Phase 1 = MVP), P1 should-have, P2 could-have, P3 later.</t>
  </si>
  <si>
    <t xml:space="preserve">Example row (Requirements): SCORE-006 · Monthly Score Entry · Phase 1 · P0 · Status 'Not started' · Owner 'Backend lead'.</t>
  </si>
  <si>
    <t xml:space="preserve">ID</t>
  </si>
  <si>
    <t xml:space="preserve">Epic</t>
  </si>
  <si>
    <t xml:space="preserve">Phase</t>
  </si>
  <si>
    <t xml:space="preserve">Priority</t>
  </si>
  <si>
    <t xml:space="preserve">User story</t>
  </si>
  <si>
    <t xml:space="preserve">Dependencies</t>
  </si>
  <si>
    <t xml:space="preserve">Acceptance criteria (Given/When/Then)</t>
  </si>
  <si>
    <t xml:space="preserve">Backend / validation notes</t>
  </si>
  <si>
    <t xml:space="preserve">Status</t>
  </si>
  <si>
    <t xml:space="preserve">Owner</t>
  </si>
  <si>
    <t xml:space="preserve">AUTH-001</t>
  </si>
  <si>
    <t xml:space="preserve">Identity &amp; Access</t>
  </si>
  <si>
    <t xml:space="preserve">P0</t>
  </si>
  <si>
    <t xml:space="preserve">As a signed-in Bitdoin user, I can open Academic Tracking without creating a new account, so that I keep one Bitdoin identity.</t>
  </si>
  <si>
    <t xml:space="preserve">Bitdoin identity system (OD-01)</t>
  </si>
  <si>
    <t xml:space="preserve">Given a user has a valid Bitdoin session, When they open /academy/scores, Then the module resolves their existing user ID and shows onboarding or dashboard without a second sign-up. Given no session, When they open the route, Then they are redirected to /auth with a return URL and land back on /academy/scores after sign-in.</t>
  </si>
  <si>
    <t xml:space="preserve">Module stores only an opaque bitdoin_user_id reference; never copies passwords or auth secrets.</t>
  </si>
  <si>
    <t xml:space="preserve">Not started</t>
  </si>
  <si>
    <t xml:space="preserve">AUTH-002</t>
  </si>
  <si>
    <t xml:space="preserve">As the platform, every Academic Tracking API call is authorised against the record owner, so that no user can read another student's data by changing an ID.</t>
  </si>
  <si>
    <t xml:space="preserve">Given user A is authenticated, When A requests GET /students/{B_profile_id}/scores for a profile A neither owns nor has an active guardian grant for, Then the API returns 404 (not 403) and writes an access_denied audit event. Automated IDOR tests cover every route listed in Section 27.</t>
  </si>
  <si>
    <t xml:space="preserve">Object-level authorisation enforced server-side in one policy layer; UUIDv7 or random IDs, never sequential.</t>
  </si>
  <si>
    <t xml:space="preserve">AUTH-003</t>
  </si>
  <si>
    <t xml:space="preserve">As a user, my interface language (Lao/English) follows the existing Bitdoin EN/ລາວ setting, so that I do not set it twice.</t>
  </si>
  <si>
    <t xml:space="preserve">Existing language toggle (OD-04)</t>
  </si>
  <si>
    <t xml:space="preserve">Given the user switched Bitdoin to ລາວ, When they open any Academic Tracking screen, Then all module UI strings render in Lao; switching to EN on any screen persists across Bookstore, Academy and the module.</t>
  </si>
  <si>
    <t xml:space="preserve">Read/write the same preference key the platform already uses; confirm storage location with owner.</t>
  </si>
  <si>
    <t xml:space="preserve">AUTH-004</t>
  </si>
  <si>
    <t xml:space="preserve">P1</t>
  </si>
  <si>
    <t xml:space="preserve">As the platform, I can assign module roles (student, guardian, admin sub-roles) without changing the core Bitdoin user table, so that existing commerce flows are unaffected.</t>
  </si>
  <si>
    <t xml:space="preserve">AUTH-001, ADMIN-001</t>
  </si>
  <si>
    <t xml:space="preserve">Given a Bitdoin user, When a guardian link is approved, Then a guardian relationship row is created in the module schema and the user's core account record is unchanged. Admin roles are granted only by a Super Administrator and every grant is audit-logged.</t>
  </si>
  <si>
    <t xml:space="preserve">PROFILE-001</t>
  </si>
  <si>
    <t xml:space="preserve">Academic Profile</t>
  </si>
  <si>
    <t xml:space="preserve">As a student, I can create an academic profile in under 2 minutes with only the required fields, so that I can start recording scores quickly.</t>
  </si>
  <si>
    <t xml:space="preserve">AUTH-001, ADMIN-003</t>
  </si>
  <si>
    <t xml:space="preserve">Given a new user, When they complete onboarding with display name, grade level, academic year, province and school (or 'school not listed'), Then a student_profile and an enrolment for the current academic year are created. Median completion time in usability testing ≤ 120 s on a mid-range Android device.</t>
  </si>
  <si>
    <t xml:space="preserve">Required: display_name, grade_level, academic_year, province, school_id OR school_free_text. Optional: district, goals, interests. Date of birth NOT collected; age band only (see PRIV-002).</t>
  </si>
  <si>
    <t xml:space="preserve">PROFILE-002</t>
  </si>
  <si>
    <t xml:space="preserve">As a student, I can choose my school from a searchable list or enter it as free text when it is not listed, so that I am never blocked.</t>
  </si>
  <si>
    <t xml:space="preserve">ADMIN-003</t>
  </si>
  <si>
    <t xml:space="preserve">Given the school is not in the catalogue, When the student types a name and selects 'Use this name', Then the enrolment stores school_free_text, status=unverified_school, and an admin review task is created. Search tolerates Lao and romanised spellings (see Section 23).</t>
  </si>
  <si>
    <t xml:space="preserve">PROFILE-003</t>
  </si>
  <si>
    <t xml:space="preserve">As a student, my current subjects are pre-filled from my grade and school configuration and I can add, remove or rename them, so that the score form matches my score book.</t>
  </si>
  <si>
    <t xml:space="preserve">ADMIN-002, PROFILE-001</t>
  </si>
  <si>
    <t xml:space="preserve">Given grade 11 and a school using the default curriculum template, When onboarding reaches 'Your subjects', Then the default subject list for grade 11 is pre-selected; the student can deselect any, add from catalogue, or add a custom subject (max 25 subjects per enrolment).</t>
  </si>
  <si>
    <t xml:space="preserve">PROFILE-004</t>
  </si>
  <si>
    <t xml:space="preserve">As a student, when a new academic year starts I am asked to confirm promotion, repetition or school change, so that history stays accurate.</t>
  </si>
  <si>
    <t xml:space="preserve">Given the academic year configured by admin has rolled over, When the student next opens the module, Then a 'New school year' sheet offers: Promoted to grade N+1 / Repeating grade N / Changed school / Left school. The previous enrolment is closed (read-only) and a new enrolment is created; prior scores are never edited or deleted by this action.</t>
  </si>
  <si>
    <t xml:space="preserve">PROFILE-005</t>
  </si>
  <si>
    <t xml:space="preserve">As a student, I can record a school transfer mid-year, so that scores before and after the move are attributed to the right school and grading scale.</t>
  </si>
  <si>
    <t xml:space="preserve">PROFILE-004, SCORE-008</t>
  </si>
  <si>
    <t xml:space="preserve">Given a student transfers in January, When they choose 'Changed school' with an effective month, Then the current enrolment ends at the prior month, a new enrolment starts at the effective month with its own grading scale, and charts mark the boundary with a 'school changed' annotation.</t>
  </si>
  <si>
    <t xml:space="preserve">PROFILE-006</t>
  </si>
  <si>
    <t xml:space="preserve">As a student, I can optionally add goals and subjects of interest, so that recommendations reflect what I care about.</t>
  </si>
  <si>
    <t xml:space="preserve">Given the optional step, When the student skips it, Then onboarding completes and the step re-appears as a dashboard card at most once per 30 days. Free-text goals are limited to 200 characters and are excluded from any parent view unless the student shares them.</t>
  </si>
  <si>
    <t xml:space="preserve">PROFILE-007</t>
  </si>
  <si>
    <t xml:space="preserve">As a student, I can view and edit my profile and see exactly what data the module holds about me, so that I stay in control.</t>
  </si>
  <si>
    <t xml:space="preserve">PROFILE-001, PRIV-004</t>
  </si>
  <si>
    <t xml:space="preserve">Given the profile screen, When the student opens 'My data', Then they see profile fields, number of score records, uploads stored, guardian links and consents, each with edit or delete actions as permitted.</t>
  </si>
  <si>
    <t xml:space="preserve">PROFILE-008</t>
  </si>
  <si>
    <t xml:space="preserve">P2</t>
  </si>
  <si>
    <t xml:space="preserve">As a student in a lower-secondary grade, I can use the module with an age-appropriate experience, so that younger students are supported safely.</t>
  </si>
  <si>
    <t xml:space="preserve">PRIV-002, OD-07</t>
  </si>
  <si>
    <t xml:space="preserve">Given a student selects a lower-secondary grade, When the age band is below the threshold set by legal review (OD-07), Then guardian consent is required before score data is saved and AI chat is disabled until consent is recorded.</t>
  </si>
  <si>
    <t xml:space="preserve">Scope decision: MVP targets Grades 10–12; Grades 6–9 gated by legal review.</t>
  </si>
  <si>
    <t xml:space="preserve">SCORE-001</t>
  </si>
  <si>
    <t xml:space="preserve">Monthly Score Entry</t>
  </si>
  <si>
    <t xml:space="preserve">As a student, I can enter all subject scores for one reporting period on a single mobile screen, so that monthly entry takes under 90 seconds.</t>
  </si>
  <si>
    <t xml:space="preserve">PROFILE-003, ADMIN-002</t>
  </si>
  <si>
    <t xml:space="preserve">Given 8 enrolled subjects on a 0–10 scale, When the student selects a period and types scores using the numeric keypad, Then focus advances to the next subject on 'Next', and a returning user can submit 8 scores in ≤ 90 s (median, usability test).</t>
  </si>
  <si>
    <t xml:space="preserve">Numeric keyboard (inputmode=decimal); accepts Lao digits ໐–໙ and normalises to Arabic numerals.</t>
  </si>
  <si>
    <t xml:space="preserve">SCORE-002</t>
  </si>
  <si>
    <t xml:space="preserve">As a student, I select academic year, term/semester and month (reporting period) from lists generated by my school's calendar, so that I cannot record an impossible period.</t>
  </si>
  <si>
    <t xml:space="preserve">ADMIN-004</t>
  </si>
  <si>
    <t xml:space="preserve">Given the enrolment's academic calendar defines periods Sep–May, When the student opens the period selector, Then only configured periods for that enrolment appear, the first period without a submitted record is pre-selected, and future periods beyond the current month are disabled.</t>
  </si>
  <si>
    <t xml:space="preserve">SCORE-003</t>
  </si>
  <si>
    <t xml:space="preserve">As a student, the form validates each score against the grading scale, so that typing mistakes are caught immediately.</t>
  </si>
  <si>
    <t xml:space="preserve">ADMIN-002</t>
  </si>
  <si>
    <t xml:space="preserve">Given a 0–10 scale with step 0.5, When the student enters 11, 7.3 or 'abc', Then the field shows an inline error ('Score must be between 0 and 10 in steps of 0.5') and Submit is disabled until fixed; 7.5 and 10 are accepted; leading/trailing spaces are trimmed.</t>
  </si>
  <si>
    <t xml:space="preserve">SCORE-004</t>
  </si>
  <si>
    <t xml:space="preserve">As a student, I can mark a subject as 'Not recorded yet', 'Not applicable this period' or 'Absent/exempt', so that missing data is explicit rather than zero.</t>
  </si>
  <si>
    <t xml:space="preserve">Given a subject has no score, When the student chooses a status, Then the record stores value=NULL with status in {missing, not_applicable, exempt}; NULL values are excluded from averages and never treated as 0; the dashboard shows the count of missing subjects.</t>
  </si>
  <si>
    <t xml:space="preserve">SCORE-005</t>
  </si>
  <si>
    <t xml:space="preserve">As a student, my partially completed entry is saved as a draft automatically, so that I do not lose work when the connection drops.</t>
  </si>
  <si>
    <t xml:space="preserve">Given the student has typed 3 of 8 scores, When the app goes offline or the tab closes, Then the draft persists locally (IndexedDB) and server-side on the next successful sync; reopening the period restores all typed values. Drafts never contribute to analytics.</t>
  </si>
  <si>
    <t xml:space="preserve">SCORE-006</t>
  </si>
  <si>
    <t xml:space="preserve">As a student, I review a summary and explicitly submit the period, so that only confirmed data is analysed.</t>
  </si>
  <si>
    <t xml:space="preserve">Given all fields are valid or have a status, When the student taps 'Review' then 'Confirm and save', Then a score_entry is stored with state=submitted, source=manual, verification=self_reported, and the dashboard refreshes within 3 s (p95).</t>
  </si>
  <si>
    <t xml:space="preserve">SCORE-007</t>
  </si>
  <si>
    <t xml:space="preserve">As a student, I can correct a submitted score and the previous value is retained in history, so that corrections are transparent.</t>
  </si>
  <si>
    <t xml:space="preserve">Given a submitted October Mathematics score of 6, When the student edits it to 7 with an optional reason, Then the current value becomes 7, a score_revision row stores old=6/new=7/actor/timestamp/reason, analytics are recalculated, and 'Edited' appears next to the score with a viewable history.</t>
  </si>
  <si>
    <t xml:space="preserve">SCORE-008</t>
  </si>
  <si>
    <t xml:space="preserve">As the platform, I store each score in its original grading scale together with a scale reference, so that different school scales are never silently mixed.</t>
  </si>
  <si>
    <t xml:space="preserve">Given a score of 38/50 under scale S2, When it is saved, Then raw_value=38 and grading_scale_id=S2 are stored; normalised_value=0.76 is derived only when S2.normalisable=true; charts never plot two different scales on one axis without a 'converted to %' label.</t>
  </si>
  <si>
    <t xml:space="preserve">SCORE-009</t>
  </si>
  <si>
    <t xml:space="preserve">As a student, I am prevented from creating two records for the same subject and period, so that duplicates do not distort averages.</t>
  </si>
  <si>
    <t xml:space="preserve">Given October Mathematics already exists for the enrolment, When the student starts a new entry for October, Then the existing values open in edit mode; the database enforces UNIQUE(enrolment_id, reporting_period_id, subject_enrolment_id) on current records; an API request that would duplicate returns 409 SCORE_DUPLICATE.</t>
  </si>
  <si>
    <t xml:space="preserve">SCORE-010</t>
  </si>
  <si>
    <t xml:space="preserve">As a student, I can browse my complete score history by year, period and subject, so that I can review past results.</t>
  </si>
  <si>
    <t xml:space="preserve">Given 2 academic years of data, When the student opens History, Then entries are grouped by academic year &gt; term &gt; period, each showing subject scores, source (manual/photo), verification state and edit marker; closed enrolments are read-only.</t>
  </si>
  <si>
    <t xml:space="preserve">SCORE-011</t>
  </si>
  <si>
    <t xml:space="preserve">As a student, I can see term and annual summaries computed from my monthly scores or entered directly when my school issues an official term result, so that both views are available.</t>
  </si>
  <si>
    <t xml:space="preserve">SCORE-006, ANALYSIS-001</t>
  </si>
  <si>
    <t xml:space="preserve">Given monthly scores exist for Sep–Dec, When the term ends, Then a computed term mean is displayed and labelled 'Calculated by Bitdoin'; if the student enters an official term score, it is stored as period_type=term_official and shown separately; computed and official values are never overwritten by each other.</t>
  </si>
  <si>
    <t xml:space="preserve">SCORE-012</t>
  </si>
  <si>
    <t xml:space="preserve">As a user, every score shows its data source and verification status, so that self-reported and verified data are always distinguishable.</t>
  </si>
  <si>
    <t xml:space="preserve">Given any score in any view (dashboard, report, parent view, API), Then it carries source ∈ {manual, ocr_confirmed, school_import} and verification ∈ {self_reported, guardian_acknowledged, school_verified}; MVP only creates self_reported; UI shows a badge for anything other than self_reported.</t>
  </si>
  <si>
    <t xml:space="preserve">SCORE-013</t>
  </si>
  <si>
    <t xml:space="preserve">As a student, I can add a subject mid-year or drop one, so that the form adapts when my timetable changes.</t>
  </si>
  <si>
    <t xml:space="preserve">Given a subject is dropped from November, When the student removes it, Then subject_enrolment.end_period is set; earlier scores remain; the subject no longer appears in new periods; trend charts end at the last recorded period.</t>
  </si>
  <si>
    <t xml:space="preserve">SCORE-014</t>
  </si>
  <si>
    <t xml:space="preserve">As a student, I receive a gentle reminder when a reporting period has passed without an entry, so that my record stays complete.</t>
  </si>
  <si>
    <t xml:space="preserve">NOTIF-001</t>
  </si>
  <si>
    <t xml:space="preserve">Given the period end date + 7 days has passed with no submitted entry, When reminders are enabled, Then one in-app reminder is shown; a second reminder (in-app or push if consented) is allowed after a further 7 days; no more than 2 reminders per period.</t>
  </si>
  <si>
    <t xml:space="preserve">OCR-001</t>
  </si>
  <si>
    <t xml:space="preserve">Score-book Photo &amp; OCR</t>
  </si>
  <si>
    <t xml:space="preserve">As a student, I can photograph or upload a score-book page as an optional alternative to typing, so that entry is faster when the photo is good.</t>
  </si>
  <si>
    <t xml:space="preserve">SCORE-006, PRIV-005</t>
  </si>
  <si>
    <t xml:space="preserve">Given the score-entry screen, When the student taps 'Scan score book', Then the camera or file picker opens (JPEG/PNG/HEIC/WebP, ≤ 15 MB before compression); typing remains visible as an equal option ('Type scores') on the same screen.</t>
  </si>
  <si>
    <t xml:space="preserve">OCR-002</t>
  </si>
  <si>
    <t xml:space="preserve">As a student, I can crop, rotate and retake before uploading, so that the image contains only the relevant page.</t>
  </si>
  <si>
    <t xml:space="preserve">Given a captured photo, When the preview opens, Then the student can rotate in 90° steps, crop with corner handles, and retake; the client downscales to max 2000 px on the long edge and JPEG quality 0.8 (target ≤ 600 KB) before upload.</t>
  </si>
  <si>
    <t xml:space="preserve">OCR-003</t>
  </si>
  <si>
    <t xml:space="preserve">As a student, I get immediate feedback when a photo is too dark, blurry or skewed, so that I retake it before waiting for processing.</t>
  </si>
  <si>
    <t xml:space="preserve">Given a preview, When on-device checks detect mean luminance &lt; 60/255, Laplacian variance below the calibrated blur threshold, or page skew &gt; 15°, Then a specific tip is shown ('Too dark – move to light') and the student may still continue; thresholds are calibrated in Phase 0 on the sample set.</t>
  </si>
  <si>
    <t xml:space="preserve">OCR-004</t>
  </si>
  <si>
    <t xml:space="preserve">As the platform, I extract subjects, scores, period and metadata into a structured, schema-validated result with per-field confidence, so that uncertain values can be flagged.</t>
  </si>
  <si>
    <t xml:space="preserve">OCR-002, AI-010</t>
  </si>
  <si>
    <t xml:space="preserve">Given an uploaded image, When processing completes, Then the job stores JSON matching ocr_extraction.v1 (Section 21.4) with each field's value, confidence ∈ [0,1], bounding box and raw text; outputs failing schema validation are retried once and then marked failed.</t>
  </si>
  <si>
    <t xml:space="preserve">OCR-005</t>
  </si>
  <si>
    <t xml:space="preserve">As the platform, I match extracted subject names to the subject catalogue using aliases, so that 'ຄະນິດສາດ', 'Math' and 'ເລກ' map to Mathematics.</t>
  </si>
  <si>
    <t xml:space="preserve">ADMIN-002, OCR-004</t>
  </si>
  <si>
    <t xml:space="preserve">Given extracted text 'ຄະນິດ', When matching runs, Then exact alias match → confidence 1.0; normalised fuzzy match ≥ 0.85 → suggested; below 0.85 → 'Choose subject' required; unmatched subjects are never auto-created.</t>
  </si>
  <si>
    <t xml:space="preserve">OCR-006</t>
  </si>
  <si>
    <t xml:space="preserve">As a student, I review all extracted values with uncertain fields highlighted and must confirm before anything is saved, so that OCR never silently creates grades.</t>
  </si>
  <si>
    <t xml:space="preserve">OCR-004, OCR-005</t>
  </si>
  <si>
    <t xml:space="preserve">Given an extraction with 2 fields below the confidence threshold, When the review screen opens, Then those fields are highlighted, the image crop for each field is viewable, 'Confirm and save' is disabled until each highlighted field is touched (accepted or edited), and saved scores carry source=ocr_confirmed, verification=self_reported.</t>
  </si>
  <si>
    <t xml:space="preserve">OCR-007</t>
  </si>
  <si>
    <t xml:space="preserve">As a student, I am told when the photo seems to contain several months or another person's records, so that I choose what to import.</t>
  </si>
  <si>
    <t xml:space="preserve">Given the extraction finds 3 month columns, When review opens, Then the student must choose which period(s) to import (default: none pre-selected except the current open period); if more than one student name is detected, a warning asks the student to crop to their own record and blocks import until acknowledged.</t>
  </si>
  <si>
    <t xml:space="preserve">OCR-008</t>
  </si>
  <si>
    <t xml:space="preserve">As the platform, I detect duplicate uploads, so that the same page does not create repeated processing cost or duplicate scores.</t>
  </si>
  <si>
    <t xml:space="preserve">Given an image with perceptual hash distance ≤ 6 from an upload by the same student in the last 90 days, When uploaded, Then the user is asked 'This looks like a page you uploaded on &lt;date&gt;. Use those results?'; confirmed duplicates do not consume OCR quota.</t>
  </si>
  <si>
    <t xml:space="preserve">OCR-009</t>
  </si>
  <si>
    <t xml:space="preserve">As a student, if OCR fails I am moved to manual entry with nothing lost, so that a bad photo never blocks me.</t>
  </si>
  <si>
    <t xml:space="preserve">OCR-004, SCORE-001</t>
  </si>
  <si>
    <t xml:space="preserve">Given processing fails or exceeds 60 s, When the student is on the processing screen, Then a message offers 'Try another photo' and 'Type scores instead'; choosing the latter opens the manual form for the same period, pre-filled with any fields that were extracted with confidence ≥ 0.9.</t>
  </si>
  <si>
    <t xml:space="preserve">OCR-010</t>
  </si>
  <si>
    <t xml:space="preserve">As the platform, I keep an auditable log of each OCR job, model version, outputs and user corrections, so that accuracy can be measured and improved.</t>
  </si>
  <si>
    <t xml:space="preserve">Given a confirmed import, Then ocr_job, ocr_extracted_field and ocr_confirmation rows record model_id, prompt_version, per-field original vs confirmed value and latency; correction rate per field is available to the OCR quality dashboard (ADMIN-008).</t>
  </si>
  <si>
    <t xml:space="preserve">OCR-011</t>
  </si>
  <si>
    <t xml:space="preserve">As a student, I control how long my score-book images are kept, so that sensitive images are not stored longer than needed.</t>
  </si>
  <si>
    <t xml:space="preserve">PRIV-005</t>
  </si>
  <si>
    <t xml:space="preserve">Given default retention, When an import is confirmed, Then the original image is deleted after 30 days unless the student opted into 'Keep my photos'; the student can delete any image immediately; deletion removes object storage and derived thumbnails within 24 h.</t>
  </si>
  <si>
    <t xml:space="preserve">OCR-012</t>
  </si>
  <si>
    <t xml:space="preserve">As the platform, I enforce a per-student monthly OCR allowance by plan, so that processing cost stays predictable.</t>
  </si>
  <si>
    <t xml:space="preserve">BILLING-003</t>
  </si>
  <si>
    <t xml:space="preserve">Given a Free user with an allowance of N uploads/month (OD-11), When the allowance is used, Then the scan button shows remaining count and, once exhausted, explains the limit and keeps manual entry fully available; failed jobs do not consume allowance.</t>
  </si>
  <si>
    <t xml:space="preserve">DASH-001</t>
  </si>
  <si>
    <t xml:space="preserve">Performance Dashboard</t>
  </si>
  <si>
    <t xml:space="preserve">As a student, I see my latest period, overall mean, number of subjects recorded and change from the previous period at the top of the dashboard, so that I understand my status in 5 seconds.</t>
  </si>
  <si>
    <t xml:space="preserve">Given at least one submitted period, When the dashboard loads, Then the summary card shows latest period name, mean (1 decimal) in the scale's units, 'n of m subjects recorded', and change vs previous comparable period with an arrow and text label (not colour alone).</t>
  </si>
  <si>
    <t xml:space="preserve">DASH-002</t>
  </si>
  <si>
    <t xml:space="preserve">As a student, I see a monthly average trend chart, so that I can see direction over time.</t>
  </si>
  <si>
    <t xml:space="preserve">ANALYSIS-001</t>
  </si>
  <si>
    <t xml:space="preserve">Given ≥ 2 submitted periods in the same scale family, When the chart renders, Then it plots one point per period, a 3-period rolling mean line when ≥ 4 periods exist, gaps for periods with no data (not interpolated), and school/scale changes as vertical annotations. With &lt; 2 periods an empty state explains what is needed.</t>
  </si>
  <si>
    <t xml:space="preserve">DASH-003</t>
  </si>
  <si>
    <t xml:space="preserve">As a student, I can open a per-subject line chart, so that I can follow one subject over time.</t>
  </si>
  <si>
    <t xml:space="preserve">Given Mathematics has 5 scores, When the student opens Mathematics, Then a line chart shows each score, the subject mean as a reference line, and a text summary with the trend label from ANALYSIS-003 including its confidence wording.</t>
  </si>
  <si>
    <t xml:space="preserve">DASH-004</t>
  </si>
  <si>
    <t xml:space="preserve">As a student, I see a bar chart comparing subjects for the latest period, so that I can compare relative results.</t>
  </si>
  <si>
    <t xml:space="preserve">Given the latest period, When the comparison chart renders, Then bars are sorted by score descending, labelled with values, and subjects with missing status are listed beneath the chart rather than shown as zero-height bars.</t>
  </si>
  <si>
    <t xml:space="preserve">DASH-005</t>
  </si>
  <si>
    <t xml:space="preserve">As a student, I see 'Stronger subjects' and 'Subjects needing attention' with the reason each was selected, so that the labels are explainable.</t>
  </si>
  <si>
    <t xml:space="preserve">ANALYSIS-002</t>
  </si>
  <si>
    <t xml:space="preserve">Given the analysis snapshot, When cards render, Then each subject shows the rule that selected it (e.g. 'Above your overall mean in 4 of the last 5 months') and a confidence chip (Low/Medium/High); when data are insufficient the card says so instead of listing subjects.</t>
  </si>
  <si>
    <t xml:space="preserve">DASH-006</t>
  </si>
  <si>
    <t xml:space="preserve">As a student using a phone on a slow network, the dashboard is usable quickly, so that I do not give up.</t>
  </si>
  <si>
    <t xml:space="preserve">NFR-001</t>
  </si>
  <si>
    <t xml:space="preserve">Given a simulated 'Slow 4G' profile (400 kbps, 400 ms RTT) on a mid-range Android, When the dashboard opens from a warm session, Then the summary card is visible ≤ 2.5 s (p75) and the module's initial JS for the route is ≤ 170 KB gzipped.</t>
  </si>
  <si>
    <t xml:space="preserve">DASH-007</t>
  </si>
  <si>
    <t xml:space="preserve">As a student, I can compare the same subject year-over-year when the scales are compatible, so that I see longer-term change.</t>
  </si>
  <si>
    <t xml:space="preserve">ANALYSIS-001, SCORE-008</t>
  </si>
  <si>
    <t xml:space="preserve">Given two academic years with the same normalisable scale family, When the student selects 'Compare years', Then both series are shown aligned by month; if scales are incompatible the option is disabled with an explanation.</t>
  </si>
  <si>
    <t xml:space="preserve">DASH-008</t>
  </si>
  <si>
    <t xml:space="preserve">As a student using a screen reader, every chart has an accessible text alternative, so that charts are not the only way to read results.</t>
  </si>
  <si>
    <t xml:space="preserve">Given any chart, Then a visually hidden data table or 'View as table' toggle exposes the same values; colour contrast ≥ 4.5:1 for text and 3:1 for chart marks; trend direction is conveyed by icon + text, not colour alone.</t>
  </si>
  <si>
    <t xml:space="preserve">Strengths &amp; Weaknesses Analysis</t>
  </si>
  <si>
    <t xml:space="preserve">As the platform, I compute period means, subject means, rolling means and period-over-period change deterministically, so that every number shown can be reproduced.</t>
  </si>
  <si>
    <t xml:space="preserve">Given the fixture dataset in Appendix C, When the analysis engine runs, Then all outputs equal the expected values to 2 decimal places; calculations exclude NULL scores and drafts; results are versioned with engine_version.</t>
  </si>
  <si>
    <t xml:space="preserve">As the platform, I classify subjects as relatively stronger, relatively lower, or insufficient evidence using documented thresholds, so that labels are consistent and explainable.</t>
  </si>
  <si>
    <t xml:space="preserve">Given a subject with ≥ 3 scores in the last 6 periods, When its mean deviation from the student's overall mean is ≥ +0.75 scale points (0–10 scale; 7.5 pp normalised) and it is above the overall mean in ≥ 60% of shared periods, Then label=relatively_stronger; symmetric rule for relatively_lower; otherwise neutral; with &lt; 3 scores label=insufficient_evidence.</t>
  </si>
  <si>
    <t xml:space="preserve">ANALYSIS-003</t>
  </si>
  <si>
    <t xml:space="preserve">As the platform, I label trends (improving, declining, stable, volatile, insufficient) with a confidence level, so that one month's change is never presented as a trend.</t>
  </si>
  <si>
    <t xml:space="preserve">Given fewer than 4 scores, Then trend=insufficient_evidence. Given ≥ 4 scores, Then slope by Theil–Sen; improving if slope ≥ +0.15 points/period and Mann–Kendall p &lt; 0.20 (symmetric for declining; Low/Medium/High confidence by n and p, Section 20.6); volatile if SD ≥ 1.0 point on a 0–10 scale (10% of scale range) regardless of slope; otherwise 'no clear trend'. Unit tests cover each boundary.</t>
  </si>
  <si>
    <t xml:space="preserve">ANALYSIS-004</t>
  </si>
  <si>
    <t xml:space="preserve">As a student, explanations distinguish what the data show from possible reasons, so that I am not told guesses as facts.</t>
  </si>
  <si>
    <t xml:space="preserve">ANALYSIS-002, AI-005</t>
  </si>
  <si>
    <t xml:space="preserve">Given any generated explanation, Then it contains an 'What your scores show' part limited to facts from the snapshot and an optional 'Things that sometimes help' part phrased as suggestions; it never states causes related to intelligence, motivation, personality, health or learning disorders (enforced by output filter and evaluation set).</t>
  </si>
  <si>
    <t xml:space="preserve">ANALYSIS-005</t>
  </si>
  <si>
    <t xml:space="preserve">As a student flagged for a lower subject, I am offered a short diagnostic quiz, so that the specific topics behind the score can be found.</t>
  </si>
  <si>
    <t xml:space="preserve">ANALYSIS-002, QUIZ-001</t>
  </si>
  <si>
    <t xml:space="preserve">Given Mathematics is labelled relatively_lower and a published diagnostic exists for the student's grade, When the subject page opens, Then a CTA 'Find which topics to practise (8–12 min)' is shown; if no diagnostic exists, the CTA is hidden and no placeholder content is invented.</t>
  </si>
  <si>
    <t xml:space="preserve">ANALYSIS-006</t>
  </si>
  <si>
    <t xml:space="preserve">As the platform, I store an immutable analysis snapshot each time inputs change, so that past reports remain reproducible.</t>
  </si>
  <si>
    <t xml:space="preserve">Given a score edit, When recomputation runs, Then a new analysis_snapshot row is written with input_hash, engine_version and outputs; reports reference a snapshot_id; old snapshots are retained per the retention policy.</t>
  </si>
  <si>
    <t xml:space="preserve">ANALYSIS-007</t>
  </si>
  <si>
    <t xml:space="preserve">As the platform, I treat conflicting evidence explicitly (e.g. low monthly scores but strong diagnostic result), so that the student sees both rather than a forced conclusion.</t>
  </si>
  <si>
    <t xml:space="preserve">ANALYSIS-002, QUIZ-002</t>
  </si>
  <si>
    <t xml:space="preserve">Given a subject labelled relatively_lower and a diagnostic with ≥ 80% mastery in all tested topics, When the subject page renders, Then it shows 'Your quiz results are strong, but school scores are lower – topics outside this quiz or test conditions may matter' and does not recommend remedial content for mastered topics.</t>
  </si>
  <si>
    <t xml:space="preserve">ANALYSIS-008</t>
  </si>
  <si>
    <t xml:space="preserve">As the platform, I never compare a student against other students or schools in the MVP, so that unfair cross-school comparisons are avoided.</t>
  </si>
  <si>
    <t xml:space="preserve">—</t>
  </si>
  <si>
    <t xml:space="preserve">Given any MVP screen or report, Then no percentile, rank or comparison to other users is displayed; any future cohort comparison requires a decision record (OD-14) and minimum cohort size of 30.</t>
  </si>
  <si>
    <t xml:space="preserve">QUIZ-001</t>
  </si>
  <si>
    <t xml:space="preserve">Diagnostic Quizzes</t>
  </si>
  <si>
    <t xml:space="preserve">As a student, I can take a short topic-level diagnostic quiz (10–15 items, ≤ 15 min) in Lao, so that my specific learning needs are identified.</t>
  </si>
  <si>
    <t xml:space="preserve">ADMIN-007</t>
  </si>
  <si>
    <t xml:space="preserve">Given a published diagnostic for Grade 11 Mathematics, When the student starts it, Then items are shown one per screen, progress is saved after each answer, the quiz can be resumed within 7 days, and each item is tagged to exactly one topic.</t>
  </si>
  <si>
    <t xml:space="preserve">QUIZ-002</t>
  </si>
  <si>
    <t xml:space="preserve">As a student, I see results per topic with a mastery band, so that I know what to practise.</t>
  </si>
  <si>
    <t xml:space="preserve">Given a completed diagnostic with ≥ 3 items per topic, Then each topic shows correct/total and a band (Secure ≥ 80%, Developing 50–79%, Needs practice &lt; 50%); topics with &lt; 3 items show 'Not enough questions to judge'.</t>
  </si>
  <si>
    <t xml:space="preserve">QUIZ-003</t>
  </si>
  <si>
    <t xml:space="preserve">As a student, I can review each answer with an explanation in Lao, so that I learn from mistakes.</t>
  </si>
  <si>
    <t xml:space="preserve">QUIZ-001, ADMIN-007</t>
  </si>
  <si>
    <t xml:space="preserve">Given a completed quiz, When the student opens review, Then each item shows the chosen answer, correct answer and a human-authored explanation; AI-generated explanations are shown only if approved in the content workflow (ADMIN-009) and labelled as such.</t>
  </si>
  <si>
    <t xml:space="preserve">QUIZ-004</t>
  </si>
  <si>
    <t xml:space="preserve">As a student, I can retake a diagnostic after practising, so that I can see topic-level change.</t>
  </si>
  <si>
    <t xml:space="preserve">Given a completed diagnostic, When 7 days have passed or the student has completed the recommended practice, Then a parallel form (different items, same blueprint) is offered when available; results show change per topic with item counts.</t>
  </si>
  <si>
    <t xml:space="preserve">QUIZ-005</t>
  </si>
  <si>
    <t xml:space="preserve">As the platform, quiz items exposed to students are original or licensed and versioned, so that integrity and copyright are protected.</t>
  </si>
  <si>
    <t xml:space="preserve">Given an item, Then it has author, licence/source, review status and version; items without status=approved cannot be served; the system holds no content described as leaked or official exam questions.</t>
  </si>
  <si>
    <t xml:space="preserve">LEARN-001</t>
  </si>
  <si>
    <t xml:space="preserve">Learning Recommendations</t>
  </si>
  <si>
    <t xml:space="preserve">As a student, I receive up to 3 next actions linked to my analysis, so that I know what to do this week.</t>
  </si>
  <si>
    <t xml:space="preserve">ANALYSIS-002, LEARN-004</t>
  </si>
  <si>
    <t xml:space="preserve">Given an analysis snapshot, When recommendations are generated, Then at most 3 items are shown, each with a reason ('Because Algebra was Needs practice in your quiz on 12 Oct'), an estimated time, and an action; all items reference existing catalogue IDs.</t>
  </si>
  <si>
    <t xml:space="preserve">LEARN-002</t>
  </si>
  <si>
    <t xml:space="preserve">As the platform, I generate MVP recommendations with documented rules and ranking, so that results are predictable and testable.</t>
  </si>
  <si>
    <t xml:space="preserve">LEARN-004</t>
  </si>
  <si>
    <t xml:space="preserve">Given the rule table in Section 14.6, When inputs match a rule, Then the candidate set and ranking are deterministic for identical inputs; ties broken by content quality score then recency; outputs logged with rule_ids.</t>
  </si>
  <si>
    <t xml:space="preserve">LEARN-003</t>
  </si>
  <si>
    <t xml:space="preserve">As the platform, I never recommend content that is not published in the Bitdoin catalogue, so that no invented lessons or books appear.</t>
  </si>
  <si>
    <t xml:space="preserve">Given a candidate item whose catalogue status is not 'published' or whose bookstore availability is 'out_of_stock' for all offers, Then it is excluded; if no candidates remain the card shows 'We don't have practice for this topic yet' and logs a content-gap event.</t>
  </si>
  <si>
    <t xml:space="preserve">As a content manager, I tag Academy lessons, challenges, quizzes and Bookstore titles with subject, grade, topic, difficulty and objectives, so that the engine can match them.</t>
  </si>
  <si>
    <t xml:space="preserve">ADMIN-007, OD-05</t>
  </si>
  <si>
    <t xml:space="preserve">Given the content metadata form, When an item is saved, Then subject, grade band, ≥ 1 topic, difficulty (1–3), language and estimated minutes are required; external IDs reference existing Academy/Bookstore records via the integration adapter.</t>
  </si>
  <si>
    <t xml:space="preserve">LEARN-005</t>
  </si>
  <si>
    <t xml:space="preserve">As a student, I can mark a recommendation as done, not helpful or not now, so that suggestions improve and do not repeat.</t>
  </si>
  <si>
    <t xml:space="preserve">Given a recommendation, When dismissed as 'not now', Then it is hidden for 14 days; 'not helpful' suppresses that item for the student for 180 days and records feedback; the same item is not shown more than 3 times in 30 days.</t>
  </si>
  <si>
    <t xml:space="preserve">LEARN-006</t>
  </si>
  <si>
    <t xml:space="preserve">As a student, I see relevant Bitdoin Bookstore titles for a subject, so that I can buy study materials if I want.</t>
  </si>
  <si>
    <t xml:space="preserve">LEARN-004, OD-06</t>
  </si>
  <si>
    <t xml:space="preserve">Given a subject with tagged in-stock titles, When the 'Books that may help' section renders, Then at most 2 titles show with title, language, price range from the existing price-comparison data and a link to the existing /bookstore/books/{id} page; the section is labelled as optional and never appears in parent reports as a purchase prompt for students under the legal threshold.</t>
  </si>
  <si>
    <t xml:space="preserve">LEARN-007</t>
  </si>
  <si>
    <t xml:space="preserve">As a student, recommended Academy lessons and weekly challenges open in the existing Academy experience, so that I do not use a second learning player.</t>
  </si>
  <si>
    <t xml:space="preserve">OD-05</t>
  </si>
  <si>
    <t xml:space="preserve">Given a recommendation of type academy_lesson, When the student taps it, Then the existing Academy lesson route opens with a return link to the module; completion events from Academy are consumed to mark the recommendation done.</t>
  </si>
  <si>
    <t xml:space="preserve">AI-001</t>
  </si>
  <si>
    <t xml:space="preserve">AI Academic Assistant</t>
  </si>
  <si>
    <t xml:space="preserve">As a student, I can ask the existing Bitdoin AI Coach questions about my own recorded scores, so that I get explanations in simple Lao.</t>
  </si>
  <si>
    <t xml:space="preserve">ANALYSIS-006, OD-08</t>
  </si>
  <si>
    <t xml:space="preserve">Given the student opens AI Coach from the scores module, When they ask 'Why did my maths average fall?', Then the answer cites the specific periods and values from the student's latest snapshot, uses simple Lao by default, and offers one next step.</t>
  </si>
  <si>
    <t xml:space="preserve">AI-002</t>
  </si>
  <si>
    <t xml:space="preserve">As the platform, the assistant can only access the authenticated student's authorised data through server-side tools, so that it cannot disclose another student's records.</t>
  </si>
  <si>
    <t xml:space="preserve">Given any conversation, Then the model receives only data returned by tool calls scoped to the session's student_profile_id; tool calls never accept a student ID from model output; red-team test set of 50 cross-student prompts yields zero disclosures.</t>
  </si>
  <si>
    <t xml:space="preserve">AI-003</t>
  </si>
  <si>
    <t xml:space="preserve">As a student, the assistant says when data are insufficient instead of guessing, so that I can trust it.</t>
  </si>
  <si>
    <t xml:space="preserve">Given a question about a subject with &lt; 3 scores, Then the answer states that there is not enough data yet and how many more months are needed; on the hallucination evaluation set, unsupported numeric claims ≤ 1% of responses.</t>
  </si>
  <si>
    <t xml:space="preserve">AI-004</t>
  </si>
  <si>
    <t xml:space="preserve">As a parent or student, the assistant behaves safely for minors, so that conversations stay appropriate.</t>
  </si>
  <si>
    <t xml:space="preserve">Given input or output that matches self-harm, abuse, sexual content or personal-data-request categories, Then the safety layer blocks or redirects with a pre-approved message and, for self-harm, shows locally appropriate help information approved by the owner (OD-15); no romantic/companion persona; no requests for photos or contact details.</t>
  </si>
  <si>
    <t xml:space="preserve">AI-005</t>
  </si>
  <si>
    <t xml:space="preserve">As the platform, I use versioned prompt templates and structured outputs, so that responses can be evaluated and rolled back.</t>
  </si>
  <si>
    <t xml:space="preserve">Given a release, Then each prompt has an ID and semantic version; responses store prompt_version and model_id; switching a version is a configuration change that can be reverted within 15 minutes.</t>
  </si>
  <si>
    <t xml:space="preserve">AI-006</t>
  </si>
  <si>
    <t xml:space="preserve">As the platform, I control AI cost per student with quotas and caching, so that unit economics remain viable.</t>
  </si>
  <si>
    <t xml:space="preserve">Given a Free student, When they exceed the daily message quota (OD-11), Then the assistant explains the limit and offers non-AI help (dashboard, lessons); identical snapshot-explanation requests are served from cache keyed by (snapshot_id, prompt_version, language) for 30 days.</t>
  </si>
  <si>
    <t xml:space="preserve">AI-007</t>
  </si>
  <si>
    <t xml:space="preserve">As a student, I can rate an answer and report a problem, so that quality issues are reviewed.</t>
  </si>
  <si>
    <t xml:space="preserve">Given an answer, When the student taps thumbs-down or 'Report', Then feedback with conversation ID (not full text unless the student consents to share) is queued for the Academic Reviewer; reports flagged as safety are reviewed within 2 business days.</t>
  </si>
  <si>
    <t xml:space="preserve">AI-008</t>
  </si>
  <si>
    <t xml:space="preserve">As the platform, when the AI provider is unavailable the module still works, so that core tracking never depends on AI.</t>
  </si>
  <si>
    <t xml:space="preserve">Given provider timeouts &gt; 20 s or error rate &gt; 20% over 5 min, Then the circuit breaker opens, chat shows 'Coach is busy – try later', and dashboard, analysis and recommendations continue to function using deterministic outputs.</t>
  </si>
  <si>
    <t xml:space="preserve">AI-009</t>
  </si>
  <si>
    <t xml:space="preserve">As a student, I can generate a plain-language monthly summary of my results, so that I can understand them quickly.</t>
  </si>
  <si>
    <t xml:space="preserve">ANALYSIS-006, AI-005</t>
  </si>
  <si>
    <t xml:space="preserve">Given a submitted period, When the student opens 'Monthly summary', Then a ≤ 150-word Lao summary is produced from the snapshot via the academic_feedback.v1 template; every number in the text is validated against snapshot values before display; if validation fails, a deterministic template summary is shown instead.</t>
  </si>
  <si>
    <t xml:space="preserve">AI-010</t>
  </si>
  <si>
    <t xml:space="preserve">As the platform, I evaluate any AI model (OCR or text) against fixed Lao test sets before release, so that quality regressions are caught.</t>
  </si>
  <si>
    <t xml:space="preserve">Given a candidate model or prompt version, When the evaluation pipeline runs, Then results for OCR field accuracy, Lao fluency rating, factual consistency and safety are compared with the current production baseline and release is blocked if any gate in Section 35.4 fails.</t>
  </si>
  <si>
    <t xml:space="preserve">PLAN-001</t>
  </si>
  <si>
    <t xml:space="preserve">Study Planner &amp; Goals</t>
  </si>
  <si>
    <t xml:space="preserve">As a student, I can set a target for a subject with a time frame, so that I have a clear goal.</t>
  </si>
  <si>
    <t xml:space="preserve">Given Mathematics latest mean 6.0 on a 0–10 scale, When the student sets target 8.0 by March, Then the goal is saved with baseline, target and end period; the feasibility check (Section 19.7) labels it 'Ambitious' if required gain &gt; 0.5 points/month and suggests an intermediate milestone, without blocking.</t>
  </si>
  <si>
    <t xml:space="preserve">PLAN-002</t>
  </si>
  <si>
    <t xml:space="preserve">As a student, I choose how many minutes per day and which days I can study, so that the plan is realistic.</t>
  </si>
  <si>
    <t xml:space="preserve">Given commitment = 20 min on Mon/Wed/Sat, When the weekly plan is generated, Then total scheduled time ≤ the commitment, no session is longer than 30 min, and at least 1 rest day exists.</t>
  </si>
  <si>
    <t xml:space="preserve">PLAN-003</t>
  </si>
  <si>
    <t xml:space="preserve">As a student, I receive a weekly set of tasks drawn from my recommendations, so that I know what to do each day.</t>
  </si>
  <si>
    <t xml:space="preserve">PLAN-002, LEARN-001</t>
  </si>
  <si>
    <t xml:space="preserve">Given recommendations and commitment, When a new week starts (Monday 00:00 Asia/Vientiane), Then 2–5 tasks are scheduled, each linked to a catalogue item or a self-study instruction, with estimated minutes.</t>
  </si>
  <si>
    <t xml:space="preserve">PLAN-004</t>
  </si>
  <si>
    <t xml:space="preserve">As a student, missed tasks are rescheduled without penalties, so that I am not discouraged.</t>
  </si>
  <si>
    <t xml:space="preserve">Given a task not completed by its day, Then it moves to the next available day once; after the second miss it is offered as 'skip or keep'; no streak is lost, no negative message or red alert is shown; weekly review shows completed vs planned neutrally.</t>
  </si>
  <si>
    <t xml:space="preserve">PLAN-005</t>
  </si>
  <si>
    <t xml:space="preserve">As a student, completing study tasks contributes to my existing Academy XP and challenge progress, so that the ecosystem feels connected.</t>
  </si>
  <si>
    <t xml:space="preserve">PLAN-003, OD-09</t>
  </si>
  <si>
    <t xml:space="preserve">Given the owner approves XP integration, When a task is completed, Then an event is sent to the existing XP system; streak mechanics for this module are opt-in and missed days never reduce earned XP.</t>
  </si>
  <si>
    <t xml:space="preserve">PLAN-006</t>
  </si>
  <si>
    <t xml:space="preserve">As a student, I can edit or pause my plan at any time, so that it adapts to exams and holidays.</t>
  </si>
  <si>
    <t xml:space="preserve">Given an active plan, When the student taps 'Pause until &lt;date&gt;', Then no tasks or reminders are generated until that date; edits apply from the next day.</t>
  </si>
  <si>
    <t xml:space="preserve">PARENT-001</t>
  </si>
  <si>
    <t xml:space="preserve">Parent / Guardian</t>
  </si>
  <si>
    <t xml:space="preserve">As a student, I can invite a parent/guardian by sharing a one-time link code, so that linking requires my action.</t>
  </si>
  <si>
    <t xml:space="preserve">AUTH-004, PRIV-003</t>
  </si>
  <si>
    <t xml:space="preserve">Given the student generates an invite, Then an 8-character code and link valid for 72 h are created, single-use, rate-limited to 5 active invites per student; the student chooses visibility scope before sharing.</t>
  </si>
  <si>
    <t xml:space="preserve">PARENT-002</t>
  </si>
  <si>
    <t xml:space="preserve">As a guardian, I accept the invite with my own Bitdoin account and declare my relationship, so that the link is attributable.</t>
  </si>
  <si>
    <t xml:space="preserve">Given a valid code, When the guardian signs in and accepts, Then relationship_type (mother, father, guardian, other) and guardian declaration checkbox are required; the link becomes active only after the student confirms the guardian's display name within 7 days (two-sided confirmation).</t>
  </si>
  <si>
    <t xml:space="preserve">PARENT-003</t>
  </si>
  <si>
    <t xml:space="preserve">As a guardian, I can request a link to my child when the child is under the consent threshold, so that consent can be given before data is processed.</t>
  </si>
  <si>
    <t xml:space="preserve">Given a student in the 'guardian consent required' band, When the student starts onboarding, Then a guardian-consent step generates a consent link; until a guardian completes it, only profile setup is possible and no scores are stored server-side.</t>
  </si>
  <si>
    <t xml:space="preserve">PARENT-004</t>
  </si>
  <si>
    <t xml:space="preserve">As a student, I control what a linked guardian can see, so that sharing is proportionate.</t>
  </si>
  <si>
    <t xml:space="preserve">Given an active link, Then the student can toggle scopes: scores &amp; trends (default on), study plan progress (default on), AI conversations (always off, not offered), career questionnaire answers (default off), goals free text (default off). Changes apply within 1 minute and are audit-logged.</t>
  </si>
  <si>
    <t xml:space="preserve">PARENT-005</t>
  </si>
  <si>
    <t xml:space="preserve">As a guardian, I see a dashboard for each linked child with trends and supportive suggestions, so that I can help constructively.</t>
  </si>
  <si>
    <t xml:space="preserve">PARENT-004, DASH-002</t>
  </si>
  <si>
    <t xml:space="preserve">Given 2 linked children, When the guardian opens Family, Then each child appears as a separate card; no screen compares siblings; suggestions are phrased as support actions (e.g. 'Ask what topic felt hardest this month').</t>
  </si>
  <si>
    <t xml:space="preserve">PARENT-006</t>
  </si>
  <si>
    <t xml:space="preserve">As a guardian, I receive a monthly progress report, so that I stay informed without checking daily.</t>
  </si>
  <si>
    <t xml:space="preserve">PARENT-005, NOTIF-002</t>
  </si>
  <si>
    <t xml:space="preserve">Given the guardian has the report entitlement and the child's scope allows scores, When a period is submitted and 3 days have passed (to allow corrections), Then a report with the 7 sections in Section 14.9 is generated from a snapshot and delivered in-app (and by email if consented).</t>
  </si>
  <si>
    <t xml:space="preserve">PARENT-007</t>
  </si>
  <si>
    <t xml:space="preserve">As a student or guardian, I can end the link at any time, so that access can be withdrawn.</t>
  </si>
  <si>
    <t xml:space="preserve">Given an active link, When either party taps 'Remove link', Then access ends immediately (next API call returns 404 for that child), both parties are notified in-app, and the guardian retains no copies except reports already downloaded.</t>
  </si>
  <si>
    <t xml:space="preserve">PARENT-008</t>
  </si>
  <si>
    <t xml:space="preserve">As support, I can suspend a disputed guardian link, so that an incorrect or abusive link is contained quickly.</t>
  </si>
  <si>
    <t xml:space="preserve">ADMIN-005</t>
  </si>
  <si>
    <t xml:space="preserve">Given a dispute report, When a Support Agent suspends the link, Then guardian access stops immediately, the case is recorded with reason codes, and only a Super Administrator can reinstate it after review.</t>
  </si>
  <si>
    <t xml:space="preserve">PARENT-009</t>
  </si>
  <si>
    <t xml:space="preserve">As the platform, when a student reaches the age of majority set by legal review, guardian visibility is re-confirmed by the student, so that adult students control their data.</t>
  </si>
  <si>
    <t xml:space="preserve">Given the student's recorded age band crosses the configured threshold, Then the student is asked to keep or remove each guardian link; if no answer within 30 days, links are paused (not deleted).</t>
  </si>
  <si>
    <t xml:space="preserve">CAREER-001</t>
  </si>
  <si>
    <t xml:space="preserve">Major &amp; Career Guidance</t>
  </si>
  <si>
    <t xml:space="preserve">As a student, I can complete a short interest questionnaire (≤ 24 items, ≤ 8 minutes), so that suggestions consider what I enjoy.</t>
  </si>
  <si>
    <t xml:space="preserve">Given the questionnaire, Then items use a 4-point like/dislike scale plus 'Not sure', progress saves after each screen, and the intro states it is an exploration tool, not a validated psychological test.</t>
  </si>
  <si>
    <t xml:space="preserve">CAREER-002</t>
  </si>
  <si>
    <t xml:space="preserve">As a student, I see 3–6 major/career options with the factors behind each, so that I can explore rather than receive one answer.</t>
  </si>
  <si>
    <t xml:space="preserve">CAREER-001, CAREER-005, UNI-001</t>
  </si>
  <si>
    <t xml:space="preserve">Given a completed questionnaire and ≥ 1 analysis snapshot, Then 3–6 options from at least 2 different career clusters are shown, each with 'Why this appears' listing interest match, related subject evidence and stated preferences; no numerical suitability score or percentage is shown.</t>
  </si>
  <si>
    <t xml:space="preserve">CAREER-003</t>
  </si>
  <si>
    <t xml:space="preserve">As a student, I can explore any career, including ones not linked to my strongest subjects, so that my choices are not limited by grades.</t>
  </si>
  <si>
    <t xml:space="preserve">Given the explorer, When the student searches or browses, Then every published career is accessible regardless of scores; each shows 'What preparation would help' rather than 'not suitable'.</t>
  </si>
  <si>
    <t xml:space="preserve">CAREER-004</t>
  </si>
  <si>
    <t xml:space="preserve">As the platform, recommendations never use gender, ethnicity, province of origin or family income as ranking inputs, so that stereotyping is avoided.</t>
  </si>
  <si>
    <t xml:space="preserve">Given the ranking function, Then its input schema excludes these attributes; fairness evaluation (Section 22.8) shows no statistically significant difference (p ≥ 0.05 with Bonferroni correction) in cluster distribution across synthetic profiles that differ only in these attributes.</t>
  </si>
  <si>
    <t xml:space="preserve">CAREER-005</t>
  </si>
  <si>
    <t xml:space="preserve">As a student, each major/career detail shows sourced, dated information and states clearly when data are not available, so that I am not misled.</t>
  </si>
  <si>
    <t xml:space="preserve">UNI-002</t>
  </si>
  <si>
    <t xml:space="preserve">Given a career page, Then each time-sensitive fact (programmes, entrance requirements, salary) shows source name, link and 'verified on' date; facts past their review date display 'May be out of date'; where no reliable Lao salary data exist, the page says so instead of showing a range.</t>
  </si>
  <si>
    <t xml:space="preserve">CAREER-006</t>
  </si>
  <si>
    <t xml:space="preserve">As a Premium student or guardian, I can generate a detailed career report (PDF/in-app), so that I can discuss options with family and teachers.</t>
  </si>
  <si>
    <t xml:space="preserve">CAREER-002, BILLING-004</t>
  </si>
  <si>
    <t xml:space="preserve">Given entitlement career_report, When the student generates a report, Then a report of 6–10 pages is produced from a frozen snapshot including options, factors, pathways, next steps, sources with dates and a disclaimer; regenerations within 30 days use the same purchase.</t>
  </si>
  <si>
    <t xml:space="preserve">CAREER-007</t>
  </si>
  <si>
    <t xml:space="preserve">As a student, recommendations update when I retake the questionnaire or new scores arrive, and I can see what changed, so that guidance evolves with me.</t>
  </si>
  <si>
    <t xml:space="preserve">Given a new snapshot, When the student opens results, Then a 'What changed since &lt;date&gt;' note lists added/removed options and the reason; retake is allowed after 90 days or immediately if the student chooses 'My interests have changed'.</t>
  </si>
  <si>
    <t xml:space="preserve">CAREER-008</t>
  </si>
  <si>
    <t xml:space="preserve">As the platform, the new career guidance extends the existing Academy Career Explorer instead of duplicating it, so that there is one career catalogue.</t>
  </si>
  <si>
    <t xml:space="preserve">OD-10</t>
  </si>
  <si>
    <t xml:space="preserve">Given an existing career such as 'Software Engineer' at /academy/careers, Then the personalised results link to the same career record and enrich it with Lao programme links; no second career taxonomy is created.</t>
  </si>
  <si>
    <t xml:space="preserve">CAREER-009</t>
  </si>
  <si>
    <t xml:space="preserve">As a student, I am encouraged to discuss options with parents, teachers or counsellors, so that the app is one input among several.</t>
  </si>
  <si>
    <t xml:space="preserve">Given results or a report, Then a visible note recommends discussion with trusted adults and provides a printable 'questions to ask' list.</t>
  </si>
  <si>
    <t xml:space="preserve">CAREER-010</t>
  </si>
  <si>
    <t xml:space="preserve">As a student, I can save careers and majors to a shortlist, so that I can come back to them.</t>
  </si>
  <si>
    <t xml:space="preserve">Given a career, When the student taps 'Save', Then it appears in My shortlist (max 20); saved items are not visible to guardians unless the student enables the career scope.</t>
  </si>
  <si>
    <t xml:space="preserve">UNI-001</t>
  </si>
  <si>
    <t xml:space="preserve">Universities &amp; Pathways Data</t>
  </si>
  <si>
    <t xml:space="preserve">As a career content reviewer, I can create and publish university, faculty and programme records with sources, so that students see verified pathways.</t>
  </si>
  <si>
    <t xml:space="preserve">ADMIN-010</t>
  </si>
  <si>
    <t xml:space="preserve">Given a draft programme, When the reviewer submits it, Then name (Lao/English), institution, degree level, duration, source URL and verified_on are required; status flows draft → in_review → published; a different reviewer must approve publication (four-eyes).</t>
  </si>
  <si>
    <t xml:space="preserve">As the platform, time-sensitive fields carry source, URL, verified date, applicable academic year and review-by date, so that outdated information is not presented as current.</t>
  </si>
  <si>
    <t xml:space="preserve">Given a field with review_by in the past, Then it is shown with an 'Out of date' label and excluded from the career report; a weekly job lists expiring records to reviewers 30 days before review_by.</t>
  </si>
  <si>
    <t xml:space="preserve">UNI-003</t>
  </si>
  <si>
    <t xml:space="preserve">As a student, I can search programmes by field, institution, province and entrance exam group, so that I can see where a major is offered.</t>
  </si>
  <si>
    <t xml:space="preserve">Given published programmes, When the student filters 'Engineering' + 'Group A', Then only programmes whose verified entrance group is A are shown; programmes with unknown group appear under 'Group not confirmed'.</t>
  </si>
  <si>
    <t xml:space="preserve">UNI-004</t>
  </si>
  <si>
    <t xml:space="preserve">As a reviewer, I can record entrance requirements and cut-off information only with a cited official source, so that no admission criteria are invented.</t>
  </si>
  <si>
    <t xml:space="preserve">Given an attempt to save a cutoff or requirement without source_url and academic_year, Then validation fails; cut-offs are displayed with 'for &lt;year&gt; – may change' and never extrapolated to future years.</t>
  </si>
  <si>
    <t xml:space="preserve">UNI-005</t>
  </si>
  <si>
    <t xml:space="preserve">As a student, I can see scholarships and application deadlines relevant to a programme, so that I do not miss dates.</t>
  </si>
  <si>
    <t xml:space="preserve">UNI-001, NOTIF-001</t>
  </si>
  <si>
    <t xml:space="preserve">Given a scholarship with a verified deadline, When the student saves it, Then a reminder can be enabled for 14 and 3 days before the deadline; expired deadlines are hidden from lists.</t>
  </si>
  <si>
    <t xml:space="preserve">EXAM-001</t>
  </si>
  <si>
    <t xml:space="preserve">Mock Examination Integration</t>
  </si>
  <si>
    <t xml:space="preserve">As a Grade 12 student, I can take a timed mock exam aligned to the current official entrance exam group structure, so that I practise under realistic conditions.</t>
  </si>
  <si>
    <t xml:space="preserve">QUIZ-005, UNI-002</t>
  </si>
  <si>
    <t xml:space="preserve">Given a published mock for Group A with a verified blueprint for the current year, When the student starts, Then the timer, sections and subject composition follow the blueprint; if the blueprint is not verified for the current year, the mock is labelled 'Practice set' not 'Mock exam'.</t>
  </si>
  <si>
    <t xml:space="preserve">EXAM-002</t>
  </si>
  <si>
    <t xml:space="preserve">As a student, mock-exam, quiz and school scores are shown as separate evidence streams, so that incompatible scores are not merged.</t>
  </si>
  <si>
    <t xml:space="preserve">EXAM-001, ANALYSIS-001</t>
  </si>
  <si>
    <t xml:space="preserve">Given all three data types exist, Then the learning profile shows three separate panels; no composite index combines them unless a documented methodology is approved (OD-14).</t>
  </si>
  <si>
    <t xml:space="preserve">EXAM-003</t>
  </si>
  <si>
    <t xml:space="preserve">As a student, mock results generate weak-topic practice and link to Academy lessons, so that preparation is targeted.</t>
  </si>
  <si>
    <t xml:space="preserve">EXAM-001, LEARN-002</t>
  </si>
  <si>
    <t xml:space="preserve">Given a completed mock, Then topic results feed the recommendation engine with source=mock_exam and the same rules as QUIZ-002.</t>
  </si>
  <si>
    <t xml:space="preserve">Notifications</t>
  </si>
  <si>
    <t xml:space="preserve">As a student, I receive in-app reminders and can choose web push if I want it, so that I control interruptions.</t>
  </si>
  <si>
    <t xml:space="preserve">Given default settings, Then only in-app notifications are on; web push requires explicit browser permission requested after a user action (never on first load); each category can be turned off in settings.</t>
  </si>
  <si>
    <t xml:space="preserve">NOTIF-002</t>
  </si>
  <si>
    <t xml:space="preserve">As a guardian, I can receive monthly summaries by email if I opt in, so that I get updates outside the app.</t>
  </si>
  <si>
    <t xml:space="preserve">Given the guardian opts into email, Then a double-opt-in confirmation is required; every email has a one-click unsubscribe; emails contain no scores unless the guardian enabled 'include scores in email'.</t>
  </si>
  <si>
    <t xml:space="preserve">NOTIF-003</t>
  </si>
  <si>
    <t xml:space="preserve">As a user, notifications respect quiet hours and caps, so that students are not disturbed at night.</t>
  </si>
  <si>
    <t xml:space="preserve">Given quiet hours 21:00–07:00 Asia/Vientiane by default, Then no push or email is sent in that window; max 1 push per day and 3 per week per student across all categories; transactional subscription notices exempt from the weekly cap only.</t>
  </si>
  <si>
    <t xml:space="preserve">NOTIF-004</t>
  </si>
  <si>
    <t xml:space="preserve">As a student, notification copy is encouraging and never shaming, so that reminders support wellbeing.</t>
  </si>
  <si>
    <t xml:space="preserve">Given the copy library, Then every template passes the tone checklist (Section 14.13): no comparison to others, no fear language, no score values in lock-screen text.</t>
  </si>
  <si>
    <t xml:space="preserve">NOTIF-005</t>
  </si>
  <si>
    <t xml:space="preserve">As a subscriber, I am told 7 days and 1 day before Premium expires, so that I can renew manually.</t>
  </si>
  <si>
    <t xml:space="preserve">BILLING-002</t>
  </si>
  <si>
    <t xml:space="preserve">Given manual-activation Premium expiring on date D, Then in-app notices appear at D-7 and D-1 and an email if consented; after expiry, data remain accessible per BILLING-006.</t>
  </si>
  <si>
    <t xml:space="preserve">NOTIF-006</t>
  </si>
  <si>
    <t xml:space="preserve">P3</t>
  </si>
  <si>
    <t xml:space="preserve">As the platform, I can add SMS or messaging-app channels later through the same notification service, so that channel expansion does not require redesign.</t>
  </si>
  <si>
    <t xml:space="preserve">Given the channel abstraction, Then a new channel can be added by implementing a provider adapter and template mapping without changing producer code; SMS requires separate consent and cost approval (OD-12).</t>
  </si>
  <si>
    <t xml:space="preserve">ADMIN-001</t>
  </si>
  <si>
    <t xml:space="preserve">Administration</t>
  </si>
  <si>
    <t xml:space="preserve">As a Super Administrator, I can grant and revoke admin sub-roles, so that staff have only the access they need.</t>
  </si>
  <si>
    <t xml:space="preserve">Given the permission matrix (Section 28), When a role is granted, Then only listed permissions become available; all grants/revocations are audit-logged with actor and reason; MFA is required for all admin roles (OD-13).</t>
  </si>
  <si>
    <t xml:space="preserve">As an Education Content Manager, I can manage subjects, aliases and grading scales, so that score entry matches real score books.</t>
  </si>
  <si>
    <t xml:space="preserve">Given the subject editor, Then each subject has code, Lao name, English name, grade applicability and aliases; each grading scale has min, max, step, display format, pass mark (optional) and normalisable flag; scales in use cannot be edited destructively — a new version is created.</t>
  </si>
  <si>
    <t xml:space="preserve">As an Education Content Manager, I can manage schools (name Lao/English, province, district, type) and merge duplicates, so that the school list stays clean.</t>
  </si>
  <si>
    <t xml:space="preserve">Given two records for the same school, When merged, Then enrolments of the merged record are re-pointed, the old record becomes an alias, and an audit entry records the merge.</t>
  </si>
  <si>
    <t xml:space="preserve">As an Education Content Manager, I can configure academic years, terms and reporting periods per curriculum template and override per school, so that calendars reflect reality.</t>
  </si>
  <si>
    <t xml:space="preserve">Given template 'National default 2026–2027', When periods are defined (e.g. Sep–May monthly, two semesters), Then enrolments inherit them; a school override replaces only the overridden periods; periods with submitted scores cannot be deleted.</t>
  </si>
  <si>
    <t xml:space="preserve">As a Support Agent, I can look up a student's module account by Bitdoin user reference to resolve tickets without seeing scores by default, so that support access is minimised.</t>
  </si>
  <si>
    <t xml:space="preserve">Given a support lookup, Then profile status, enrolments, consent and link states are visible; viewing scores or images requires a 'break-glass' reason, is time-limited to 30 minutes and is audit-logged.</t>
  </si>
  <si>
    <t xml:space="preserve">ADMIN-006</t>
  </si>
  <si>
    <t xml:space="preserve">As an admin, I can view audit logs filtered by actor, student reference and action, so that access can be reviewed.</t>
  </si>
  <si>
    <t xml:space="preserve">Given the audit viewer, Then entries are append-only, filterable, and exportable as CSV by Super Administrator only; logs retain 24 months (OD-16).</t>
  </si>
  <si>
    <t xml:space="preserve">As an Education Content Manager, I can create topics, quiz items and content metadata with a review workflow, so that only reviewed content is served.</t>
  </si>
  <si>
    <t xml:space="preserve">Given an item, Then status flows draft → in_review → approved → retired; approval requires a user with Academic Reviewer role who is not the author.</t>
  </si>
  <si>
    <t xml:space="preserve">ADMIN-008</t>
  </si>
  <si>
    <t xml:space="preserve">As an Academic Reviewer, I can monitor OCR quality (failure rate, correction rate per field, latency, cost), so that issues are detected early.</t>
  </si>
  <si>
    <t xml:space="preserve">Given the OCR dashboard, Then daily metrics by model version and school template are shown with alert thresholds (e.g. correction rate &gt; 15% over 7 days).</t>
  </si>
  <si>
    <t xml:space="preserve">ADMIN-009</t>
  </si>
  <si>
    <t xml:space="preserve">As an Academic Reviewer, I can review sampled AI outputs and user-reported answers, so that quality and safety are monitored.</t>
  </si>
  <si>
    <t xml:space="preserve">Given the review queue, Then a weekly random sample (default 1% or 50 conversations, whichever larger, from consenting users) plus all reported items appear; reviewers rate accuracy, Lao quality and safety on a rubric; results feed AI-010.</t>
  </si>
  <si>
    <t xml:space="preserve">As a Career Content Reviewer, I manage the career taxonomy, programme data and their sources, so that guidance content stays accurate.</t>
  </si>
  <si>
    <t xml:space="preserve">Given the career editor, Then the reviewer can link careers to majors and programmes, add sources and set review-by dates; publication follows UNI-001 four-eyes rule.</t>
  </si>
  <si>
    <t xml:space="preserve">BILLING-001</t>
  </si>
  <si>
    <t xml:space="preserve">Subscriptions &amp; Entitlements</t>
  </si>
  <si>
    <t xml:space="preserve">As the platform, module features check entitlements from a single entitlement service, so that pricing changes do not require code changes.</t>
  </si>
  <si>
    <t xml:space="preserve">OD-11</t>
  </si>
  <si>
    <t xml:space="preserve">Given a feature flag map (Section 30.4), When a request requires 'advanced_analysis', Then the service resolves the user's active entitlements from the existing Academy subscription and module add-ons; changing which plan includes a feature is configuration only.</t>
  </si>
  <si>
    <t xml:space="preserve">As a subscriber, existing Academy Premium (manual activation) unlocks the module's premium features, so that I do not pay twice.</t>
  </si>
  <si>
    <t xml:space="preserve">BILLING-001, OD-11</t>
  </si>
  <si>
    <t xml:space="preserve">Given a user whose Academy subscription status is active Premium, Then module premium entitlements are active for the same period; on expiry they end at the same timestamp.</t>
  </si>
  <si>
    <t xml:space="preserve">As the platform, usage-limited features (OCR, AI messages) decrement quotas atomically, so that limits are enforced fairly.</t>
  </si>
  <si>
    <t xml:space="preserve">Given concurrent requests, Then quota decrements are transactional; failed/system-error jobs are refunded; quota resets on the 1st of each month 00:00 Asia/Vientiane.</t>
  </si>
  <si>
    <t xml:space="preserve">BILLING-004</t>
  </si>
  <si>
    <t xml:space="preserve">As a guardian or student, I can buy a one-time career report, so that I do not need a subscription for it.</t>
  </si>
  <si>
    <t xml:space="preserve">Given checkout for a one-time report, Then payment uses the existing Bitdoin payment workflow (QR/bank transfer with manual or automated confirmation); entitlement career_report is granted for 12 months after payment confirmation.</t>
  </si>
  <si>
    <t xml:space="preserve">BILLING-005</t>
  </si>
  <si>
    <t xml:space="preserve">As a guardian, I can buy a family plan covering up to 3 linked children, so that siblings are covered affordably.</t>
  </si>
  <si>
    <t xml:space="preserve">BILLING-001, PARENT-002</t>
  </si>
  <si>
    <t xml:space="preserve">Given a family plan, Then premium entitlements apply to the guardian and up to 3 actively linked students; removing a link frees a seat immediately.</t>
  </si>
  <si>
    <t xml:space="preserve">BILLING-006</t>
  </si>
  <si>
    <t xml:space="preserve">As a student whose Premium expires, I keep all my recorded scores, history and basic charts, so that my data are never held hostage.</t>
  </si>
  <si>
    <t xml:space="preserve">Given an expired subscription, Then free-tier features continue, previously generated reports remain readable, and only premium generation/actions are locked with a clear explanation.</t>
  </si>
  <si>
    <t xml:space="preserve">BILLING-007</t>
  </si>
  <si>
    <t xml:space="preserve">As a Financial Administrator, I can reconcile module payments and grant/revoke entitlements manually with reason codes, so that manual payment workflows are supported.</t>
  </si>
  <si>
    <t xml:space="preserve">Given a confirmed bank-transfer payment, When the Financial Administrator activates it, Then the entitlement starts at confirmation time, an invoice record is stored and the action is audit-logged.</t>
  </si>
  <si>
    <t xml:space="preserve">PRIV-001</t>
  </si>
  <si>
    <t xml:space="preserve">Privacy, Consent &amp; Safety</t>
  </si>
  <si>
    <t xml:space="preserve">As a user, I see a short, plain-language Lao privacy notice for the module before entering data, so that I understand what is collected and why.</t>
  </si>
  <si>
    <t xml:space="preserve">OD-07</t>
  </si>
  <si>
    <t xml:space="preserve">Given onboarding, Then a layered notice (≤ 150 words summary + full policy link) is shown and acknowledgement is stored with notice version; a material notice change triggers re-acknowledgement.</t>
  </si>
  <si>
    <t xml:space="preserve">PRIV-002</t>
  </si>
  <si>
    <t xml:space="preserve">As the platform, I collect an age band rather than date of birth and apply consent rules configured after legal review, so that minors are protected with minimal data.</t>
  </si>
  <si>
    <t xml:space="preserve">Given onboarding, Then the student selects an age band; rules mapping age band to consent requirements are configuration managed by Super Administrator; until OD-07 is decided, the MVP is limited to Grades 10–12 and treats all users under 18 as requiring the student consent + guardian notice flow defined in Section 29.3.</t>
  </si>
  <si>
    <t xml:space="preserve">PRIV-003</t>
  </si>
  <si>
    <t xml:space="preserve">As the platform, I store every consent and withdrawal with purpose, version and timestamp, so that consent history is provable.</t>
  </si>
  <si>
    <t xml:space="preserve">Given any consent event, Then a consent_record row stores subject, grantor, purpose, scope, notice_version, method, timestamp and withdrawal timestamp; records are append-only.</t>
  </si>
  <si>
    <t xml:space="preserve">PRIV-004</t>
  </si>
  <si>
    <t xml:space="preserve">As a student, I can export all my module data as JSON and CSV, so that I can take it with me.</t>
  </si>
  <si>
    <t xml:space="preserve">Given an export request, Then a ZIP with profile.json, scores.csv, revisions.csv, consents.json and (optionally) images is available within 24 h via a link valid for 7 days that requires sign-in.</t>
  </si>
  <si>
    <t xml:space="preserve">As a student, I can delete my academic data or the whole module profile, so that I can leave.</t>
  </si>
  <si>
    <t xml:space="preserve">Given a deletion request, Then a 14-day cancellable grace period starts; afterwards profile, scores, revisions, images, AI conversations and recommendations are deleted or irreversibly anonymised within 30 days including backups rotation; audit and payment records required by law are retained in minimised form.</t>
  </si>
  <si>
    <t xml:space="preserve">PRIV-006</t>
  </si>
  <si>
    <t xml:space="preserve">As the platform, images and data sent to AI providers are minimised and processed under contract terms that prohibit training on them, so that student data are not reused.</t>
  </si>
  <si>
    <t xml:space="preserve">OD-03</t>
  </si>
  <si>
    <t xml:space="preserve">Given an OCR call, Then EXIF metadata is stripped, the student name region is not required for extraction, provider zero-retention or no-training terms are confirmed in the vendor assessment, and the provider/region are recorded in the processing register.</t>
  </si>
  <si>
    <t xml:space="preserve">PRIV-007</t>
  </si>
  <si>
    <t xml:space="preserve">As the platform, all module endpoints are rate-limited and protected against scraping, so that mass extraction is prevented.</t>
  </si>
  <si>
    <t xml:space="preserve">Given a single user/session, Then read endpoints are limited (default 120 requests/min) and listing endpoints are paginated with max page size 50; anomaly alerts fire when a user accesses &gt; 3 distinct student profiles in 24 h.</t>
  </si>
  <si>
    <t xml:space="preserve">PRIV-008</t>
  </si>
  <si>
    <t xml:space="preserve">As a user, I can report abuse (wrong guardian link, inappropriate AI output, impersonation) from any screen, so that issues reach support quickly.</t>
  </si>
  <si>
    <t xml:space="preserve">Given 'Report a problem', Then categories include guardian link, AI answer, account misuse and other; safety-category reports create a priority ticket with 1 business day first response target.</t>
  </si>
  <si>
    <t xml:space="preserve">Task ID</t>
  </si>
  <si>
    <t xml:space="preserve">Workstream</t>
  </si>
  <si>
    <t xml:space="preserve">Task (summary)</t>
  </si>
  <si>
    <t xml:space="preserve">Description</t>
  </si>
  <si>
    <t xml:space="preserve">Size</t>
  </si>
  <si>
    <t xml:space="preserve">Est. low (days)</t>
  </si>
  <si>
    <t xml:space="preserve">Est. high (days)</t>
  </si>
  <si>
    <t xml:space="preserve">Est. mid (days)</t>
  </si>
  <si>
    <t xml:space="preserve">Linked requirements</t>
  </si>
  <si>
    <t xml:space="preserve">Acceptance criteria</t>
  </si>
  <si>
    <t xml:space="preserve">Assignee</t>
  </si>
  <si>
    <t xml:space="preserve">Sprint</t>
  </si>
  <si>
    <t xml:space="preserve">PM-001</t>
  </si>
  <si>
    <t xml:space="preserve">Product management</t>
  </si>
  <si>
    <t xml:space="preserve">0 Research &amp; validation</t>
  </si>
  <si>
    <t xml:space="preserve">Codebase and architecture discovery</t>
  </si>
  <si>
    <t xml:space="preserve">Review Bitdoin repository, hosting, auth/session model, database, Academy content model, subscription records and deployment pipeline with the owner; complete the discovery checklist in Section 25.6.</t>
  </si>
  <si>
    <t xml:space="preserve">Owner grants access</t>
  </si>
  <si>
    <t xml:space="preserve">M</t>
  </si>
  <si>
    <t xml:space="preserve">OD-01..OD-06</t>
  </si>
  <si>
    <t xml:space="preserve">Discovery checklist complete; architecture option (Section 24.2) selected and recorded in decision register.</t>
  </si>
  <si>
    <t xml:space="preserve">PM-002</t>
  </si>
  <si>
    <t xml:space="preserve">Owner decision workshop</t>
  </si>
  <si>
    <t xml:space="preserve">Run a workshop to close the pre-development decisions in Section 40.2 (scope grades, monetisation packaging, AI provider policy, data residency).</t>
  </si>
  <si>
    <t xml:space="preserve">S</t>
  </si>
  <si>
    <t xml:space="preserve">OD-01..OD-16</t>
  </si>
  <si>
    <t xml:space="preserve">Each P0 decision has an owner, a decision and a date in the register.</t>
  </si>
  <si>
    <t xml:space="preserve">RES-001</t>
  </si>
  <si>
    <t xml:space="preserve">Content and research</t>
  </si>
  <si>
    <t xml:space="preserve">Score-book sample collection (consented)</t>
  </si>
  <si>
    <t xml:space="preserve">Collect 150–300 score-book photos from ≥ 20 schools in ≥ 6 provinces with written student and guardian consent; redact names; store in restricted research bucket.</t>
  </si>
  <si>
    <t xml:space="preserve">LEG-001</t>
  </si>
  <si>
    <t xml:space="preserve">L</t>
  </si>
  <si>
    <t xml:space="preserve">Sample inventory spreadsheet with school, province, layout type, consent reference; ≥ 150 usable images.</t>
  </si>
  <si>
    <t xml:space="preserve">RES-002</t>
  </si>
  <si>
    <t xml:space="preserve">Grading practice survey</t>
  </si>
  <si>
    <t xml:space="preserve">Document scales, steps, reporting periods and term/annual rules from the samples and 10+ teacher interviews.</t>
  </si>
  <si>
    <t xml:space="preserve">SCORE-003, SCORE-008, ADMIN-002</t>
  </si>
  <si>
    <t xml:space="preserve">Grading configuration catalogue with ≥ 1 verified template per school type; unknowns listed.</t>
  </si>
  <si>
    <t xml:space="preserve">RES-003</t>
  </si>
  <si>
    <t xml:space="preserve">Student and parent interviews</t>
  </si>
  <si>
    <t xml:space="preserve">12–20 student and 8–12 parent interviews plus a 5-minute value survey (n ≥ 100) on willingness to record scores and pay for insights.</t>
  </si>
  <si>
    <t xml:space="preserve">Synthesis report with top needs, objections and price-sensitivity ranges.</t>
  </si>
  <si>
    <t xml:space="preserve">RES-004</t>
  </si>
  <si>
    <t xml:space="preserve">Concierge validation</t>
  </si>
  <si>
    <t xml:space="preserve">Run a manual pilot: 30–50 students submit scores via form; team returns a hand-built monthly summary; test 2 price points via QR payment.</t>
  </si>
  <si>
    <t xml:space="preserve">Retention to 2nd month and paid conversion measured; go/no-go recorded.</t>
  </si>
  <si>
    <t xml:space="preserve">Security</t>
  </si>
  <si>
    <t xml:space="preserve">Lao legal review</t>
  </si>
  <si>
    <t xml:space="preserve">Engage Lao counsel on Law No. 25/NA, consent for minors, cross-border transfer, AI vendor processing, retention, and the expected new data protection law.</t>
  </si>
  <si>
    <t xml:space="preserve">PRIV-001..PRIV-006</t>
  </si>
  <si>
    <t xml:space="preserve">Written opinion answering the questions in Section 29.2; OD-07 closed.</t>
  </si>
  <si>
    <t xml:space="preserve">AI-RES-001</t>
  </si>
  <si>
    <t xml:space="preserve">OCR/AI</t>
  </si>
  <si>
    <t xml:space="preserve">OCR feasibility benchmark</t>
  </si>
  <si>
    <t xml:space="preserve">Evaluate 2–3 vision-language models and 1 conventional OCR engine on 100 labelled samples for field accuracy, latency and cost.</t>
  </si>
  <si>
    <t xml:space="preserve">OCR-004, AI-010</t>
  </si>
  <si>
    <t xml:space="preserve">Benchmark report with per-field accuracy, cost per page and recommendation (Section 21.3).</t>
  </si>
  <si>
    <t xml:space="preserve">UX-001</t>
  </si>
  <si>
    <t xml:space="preserve">UX/UI</t>
  </si>
  <si>
    <t xml:space="preserve">1 Core MVP</t>
  </si>
  <si>
    <t xml:space="preserve">Design tokens and component mapping</t>
  </si>
  <si>
    <t xml:space="preserve">Map module components to existing Bitdoin styles (theme colour #1e3a5f, typography, buttons); define Lao typography rules.</t>
  </si>
  <si>
    <t xml:space="preserve">Token sheet approved; Lao/EN sample screens pass visual review.</t>
  </si>
  <si>
    <t xml:space="preserve">UX-002</t>
  </si>
  <si>
    <t xml:space="preserve">Onboarding and profile flows</t>
  </si>
  <si>
    <t xml:space="preserve">High-fidelity mobile + desktop designs for screens 1–3 and 23.</t>
  </si>
  <si>
    <t xml:space="preserve">PROFILE-001..007, PRIV-001</t>
  </si>
  <si>
    <t xml:space="preserve">Prototype tested with 5 students; median onboarding ≤ 120 s.</t>
  </si>
  <si>
    <t xml:space="preserve">UX-003</t>
  </si>
  <si>
    <t xml:space="preserve">Score entry and history</t>
  </si>
  <si>
    <t xml:space="preserve">Designs for screens 5 and 22 incl. draft, validation, missing-status and correction states.</t>
  </si>
  <si>
    <t xml:space="preserve">SCORE-001..013</t>
  </si>
  <si>
    <t xml:space="preserve">Prototype test: returning user enters 8 scores ≤ 90 s.</t>
  </si>
  <si>
    <t xml:space="preserve">UX-004</t>
  </si>
  <si>
    <t xml:space="preserve">Dashboard and charts</t>
  </si>
  <si>
    <t xml:space="preserve">Designs for screen 4 and per-subject view; chart specs incl. accessible tables.</t>
  </si>
  <si>
    <t xml:space="preserve">DASH-001..008</t>
  </si>
  <si>
    <t xml:space="preserve">Charts reviewed against Section 18 specs and WCAG 2.2 AA contrast.</t>
  </si>
  <si>
    <t xml:space="preserve">UX-005</t>
  </si>
  <si>
    <t xml:space="preserve">Lao copywriting and localisation pack</t>
  </si>
  <si>
    <t xml:space="preserve">Write all MVP strings in simple Lao and English; native review by 2 Lao educators.</t>
  </si>
  <si>
    <t xml:space="preserve">UX-002, UX-003, UX-004</t>
  </si>
  <si>
    <t xml:space="preserve">AUTH-003, NOTIF-004</t>
  </si>
  <si>
    <t xml:space="preserve">String file complete; review sign-off; no untranslated keys.</t>
  </si>
  <si>
    <t xml:space="preserve">UX-006</t>
  </si>
  <si>
    <t xml:space="preserve">Admin configuration screens</t>
  </si>
  <si>
    <t xml:space="preserve">Designs for subject, scale, school and calendar management.</t>
  </si>
  <si>
    <t xml:space="preserve">ADMIN-002..004</t>
  </si>
  <si>
    <t xml:space="preserve">Admin flows walkthrough approved by content manager.</t>
  </si>
  <si>
    <t xml:space="preserve">DB-001</t>
  </si>
  <si>
    <t xml:space="preserve">Database</t>
  </si>
  <si>
    <t xml:space="preserve">Module schema and migrations</t>
  </si>
  <si>
    <t xml:space="preserve">Create module schema tables for profiles, enrolments, schools, calendars, subjects, aliases, scales, subject enrolments, score entries, scores, revisions, consents, audit.</t>
  </si>
  <si>
    <t xml:space="preserve">SCORE-008, SCORE-009, PRIV-003</t>
  </si>
  <si>
    <t xml:space="preserve">Migrations run forward/back on staging; constraints from Section 26 present; seed data loads.</t>
  </si>
  <si>
    <t xml:space="preserve">DB-002</t>
  </si>
  <si>
    <t xml:space="preserve">Row-level/object-level access policies</t>
  </si>
  <si>
    <t xml:space="preserve">Implement ownership and guardian policies at data-access layer (or DB RLS if supported).</t>
  </si>
  <si>
    <t xml:space="preserve">Policy tests pass for owner, non-owner, guardian (Phase 3 stub) and admin.</t>
  </si>
  <si>
    <t xml:space="preserve">DB-003</t>
  </si>
  <si>
    <t xml:space="preserve">Seed curriculum and calendar data</t>
  </si>
  <si>
    <t xml:space="preserve">Load default subjects, aliases, 0–10 scale and 2026–2027 calendar template from RES-002.</t>
  </si>
  <si>
    <t xml:space="preserve">DB-001, RES-002</t>
  </si>
  <si>
    <t xml:space="preserve">ADMIN-002, ADMIN-004</t>
  </si>
  <si>
    <t xml:space="preserve">Seed verified by content manager; IDs stable across environments.</t>
  </si>
  <si>
    <t xml:space="preserve">BE-001</t>
  </si>
  <si>
    <t xml:space="preserve">Backend</t>
  </si>
  <si>
    <t xml:space="preserve">Identity adapter</t>
  </si>
  <si>
    <t xml:space="preserve">Resolve Bitdoin session to user reference; map to student_profile; middleware for authorisation context.</t>
  </si>
  <si>
    <t xml:space="preserve">PM-001, DB-001</t>
  </si>
  <si>
    <t xml:space="preserve">Requests with valid session resolve user; invalid → 401; contract tests with existing auth.</t>
  </si>
  <si>
    <t xml:space="preserve">BE-002</t>
  </si>
  <si>
    <t xml:space="preserve">Profile &amp; enrolment API</t>
  </si>
  <si>
    <t xml:space="preserve">CRUD for profile, enrolment, promotion/transfer flows.</t>
  </si>
  <si>
    <t xml:space="preserve">PROFILE-001..005</t>
  </si>
  <si>
    <t xml:space="preserve">API tests for all flows in Section 27; promotion never mutates closed enrolments.</t>
  </si>
  <si>
    <t xml:space="preserve">BE-003</t>
  </si>
  <si>
    <t xml:space="preserve">Score entry API with drafts and revisions</t>
  </si>
  <si>
    <t xml:space="preserve">Draft save, submit, edit with revision history, duplicate protection, idempotency keys.</t>
  </si>
  <si>
    <t xml:space="preserve">BE-001, DB-001</t>
  </si>
  <si>
    <t xml:space="preserve">All SCORE ACs automated; idempotent retries create no duplicates.</t>
  </si>
  <si>
    <t xml:space="preserve">BE-004</t>
  </si>
  <si>
    <t xml:space="preserve">Analysis engine v1 (descriptive)</t>
  </si>
  <si>
    <t xml:space="preserve">Period means, subject means, change, rolling mean; snapshot persistence; recompute on change.</t>
  </si>
  <si>
    <t xml:space="preserve">ANALYSIS-001, ANALYSIS-006</t>
  </si>
  <si>
    <t xml:space="preserve">Golden-file tests (Appendix C) pass to 2 decimals.</t>
  </si>
  <si>
    <t xml:space="preserve">BE-005</t>
  </si>
  <si>
    <t xml:space="preserve">Admin configuration API</t>
  </si>
  <si>
    <t xml:space="preserve">Subjects, aliases, scales (versioned), schools (merge), calendars (template + override).</t>
  </si>
  <si>
    <t xml:space="preserve">Role checks enforced; scale versioning prevents destructive edits.</t>
  </si>
  <si>
    <t xml:space="preserve">BE-006</t>
  </si>
  <si>
    <t xml:space="preserve">Consent, export and deletion services</t>
  </si>
  <si>
    <t xml:space="preserve">Consent records, export job, deletion job with grace period.</t>
  </si>
  <si>
    <t xml:space="preserve">PRIV-003..005</t>
  </si>
  <si>
    <t xml:space="preserve">Export produces documented files; deletion verified by data-sweep test.</t>
  </si>
  <si>
    <t xml:space="preserve">BE-007</t>
  </si>
  <si>
    <t xml:space="preserve">Audit logging service</t>
  </si>
  <si>
    <t xml:space="preserve">Append-only audit events for access-denied, admin actions, edits, consents.</t>
  </si>
  <si>
    <t xml:space="preserve">AUTH-002, ADMIN-006</t>
  </si>
  <si>
    <t xml:space="preserve">Every privileged action writes an event; tamper test fails to modify rows.</t>
  </si>
  <si>
    <t xml:space="preserve">BE-008</t>
  </si>
  <si>
    <t xml:space="preserve">Rate limiting and anomaly alerts</t>
  </si>
  <si>
    <t xml:space="preserve">Per-user/route limits, pagination caps, multi-profile access alert.</t>
  </si>
  <si>
    <t xml:space="preserve">Load test confirms 429 at threshold; alert fires in staging test.</t>
  </si>
  <si>
    <t xml:space="preserve">BE-009</t>
  </si>
  <si>
    <t xml:space="preserve">In-app notification service (minimal)</t>
  </si>
  <si>
    <t xml:space="preserve">Store and serve in-app notifications; reminder scheduler for missing periods with caps and quiet hours.</t>
  </si>
  <si>
    <t xml:space="preserve">SCORE-014, NOTIF-001, NOTIF-003</t>
  </si>
  <si>
    <t xml:space="preserve">Scheduler respects caps in automated tests.</t>
  </si>
  <si>
    <t xml:space="preserve">FE-001</t>
  </si>
  <si>
    <t xml:space="preserve">Frontend</t>
  </si>
  <si>
    <t xml:space="preserve">Module shell and navigation</t>
  </si>
  <si>
    <t xml:space="preserve">Add 'My Scores' entry within Academy navigation; route guards; language sync.</t>
  </si>
  <si>
    <t xml:space="preserve">UX-001, BE-001</t>
  </si>
  <si>
    <t xml:space="preserve">AUTH-001, AUTH-003</t>
  </si>
  <si>
    <t xml:space="preserve">Route reachable from Academy; language follows EN/ລາວ toggle.</t>
  </si>
  <si>
    <t xml:space="preserve">FE-002</t>
  </si>
  <si>
    <t xml:space="preserve">Onboarding and profile screens</t>
  </si>
  <si>
    <t xml:space="preserve">Implement screens 2, 3, 23 with validation and school search.</t>
  </si>
  <si>
    <t xml:space="preserve">UX-002, BE-002</t>
  </si>
  <si>
    <t xml:space="preserve">PROFILE-001..007</t>
  </si>
  <si>
    <t xml:space="preserve">E2E tests pass on Android Chrome and desktop.</t>
  </si>
  <si>
    <t xml:space="preserve">FE-003</t>
  </si>
  <si>
    <t xml:space="preserve">Score entry with offline drafts</t>
  </si>
  <si>
    <t xml:space="preserve">Implement screen 5 with numeric keypad, Lao digit normalisation, IndexedDB drafts, sync queue.</t>
  </si>
  <si>
    <t xml:space="preserve">UX-003, BE-003</t>
  </si>
  <si>
    <t xml:space="preserve">SCORE-001..009</t>
  </si>
  <si>
    <t xml:space="preserve">Offline draft restore test passes; 90-s entry usability target met.</t>
  </si>
  <si>
    <t xml:space="preserve">FE-004</t>
  </si>
  <si>
    <t xml:space="preserve">History screen</t>
  </si>
  <si>
    <t xml:space="preserve">Implement screen 22 with grouping, badges and revision viewer.</t>
  </si>
  <si>
    <t xml:space="preserve">SCORE-010, SCORE-012</t>
  </si>
  <si>
    <t xml:space="preserve">Renders 2 years of data in ≤ 1 s after fetch on mid-range device.</t>
  </si>
  <si>
    <t xml:space="preserve">FE-005</t>
  </si>
  <si>
    <t xml:space="preserve">Implement screen 4: summary card, trend, per-subject, comparison, accessible tables.</t>
  </si>
  <si>
    <t xml:space="preserve">UX-004, BE-004</t>
  </si>
  <si>
    <t xml:space="preserve">DASH-001..004, DASH-006, DASH-008</t>
  </si>
  <si>
    <t xml:space="preserve">Performance budget met; axe-core zero serious violations.</t>
  </si>
  <si>
    <t xml:space="preserve">FE-006</t>
  </si>
  <si>
    <t xml:space="preserve">Privacy settings, export and delete UI</t>
  </si>
  <si>
    <t xml:space="preserve">Implement 'My data', consent view, export and delete flows.</t>
  </si>
  <si>
    <t xml:space="preserve">PROFILE-007, PRIV-004, PRIV-005</t>
  </si>
  <si>
    <t xml:space="preserve">E2E: export downloaded; deletion grace period visible and cancellable.</t>
  </si>
  <si>
    <t xml:space="preserve">FE-007</t>
  </si>
  <si>
    <t xml:space="preserve">Admin configuration UI</t>
  </si>
  <si>
    <t xml:space="preserve">Implement subject/scale/school/calendar admin screens.</t>
  </si>
  <si>
    <t xml:space="preserve">UX-006, BE-005</t>
  </si>
  <si>
    <t xml:space="preserve">Content manager completes seed review using UI only.</t>
  </si>
  <si>
    <t xml:space="preserve">SEC-001</t>
  </si>
  <si>
    <t xml:space="preserve">Threat model and security review</t>
  </si>
  <si>
    <t xml:space="preserve">Validate Section 29.6 threat model against the implemented design; fix findings.</t>
  </si>
  <si>
    <t xml:space="preserve">AUTH-002, PRIV-007</t>
  </si>
  <si>
    <t xml:space="preserve">No open high/critical findings at release.</t>
  </si>
  <si>
    <t xml:space="preserve">SEC-002</t>
  </si>
  <si>
    <t xml:space="preserve">IDOR and authorisation test suite</t>
  </si>
  <si>
    <t xml:space="preserve">Automated tests attempting cross-profile access on every endpoint.</t>
  </si>
  <si>
    <t xml:space="preserve">BE-002, BE-003</t>
  </si>
  <si>
    <t xml:space="preserve">100% of module endpoints covered; all return 404 for non-owners.</t>
  </si>
  <si>
    <t xml:space="preserve">QA-001</t>
  </si>
  <si>
    <t xml:space="preserve">QA</t>
  </si>
  <si>
    <t xml:space="preserve">Test plan and fixtures</t>
  </si>
  <si>
    <t xml:space="preserve">Golden datasets (Appendix C), test accounts, device matrix.</t>
  </si>
  <si>
    <t xml:space="preserve">Fixtures versioned; device matrix agreed.</t>
  </si>
  <si>
    <t xml:space="preserve">QA-002</t>
  </si>
  <si>
    <t xml:space="preserve">Automated API and E2E tests</t>
  </si>
  <si>
    <t xml:space="preserve">API contract tests and E2E flows for onboarding, entry, edit, dashboard, export, delete.</t>
  </si>
  <si>
    <t xml:space="preserve">QA-001, FE-002..FE-006</t>
  </si>
  <si>
    <t xml:space="preserve">All P0 MVP</t>
  </si>
  <si>
    <t xml:space="preserve">CI green; flaky rate &lt; 2%.</t>
  </si>
  <si>
    <t xml:space="preserve">QA-003</t>
  </si>
  <si>
    <t xml:space="preserve">Localisation and accessibility testing</t>
  </si>
  <si>
    <t xml:space="preserve">Lao rendering on Android Chrome/Samsung Internet, line-breaking, screen reader checks.</t>
  </si>
  <si>
    <t xml:space="preserve">AUTH-003, DASH-008</t>
  </si>
  <si>
    <t xml:space="preserve">Checklist in Section 35.3 passed.</t>
  </si>
  <si>
    <t xml:space="preserve">QA-004</t>
  </si>
  <si>
    <t xml:space="preserve">UAT with students and admins</t>
  </si>
  <si>
    <t xml:space="preserve">Run UAT scripts (Appendix E) with 10 students and 2 admins.</t>
  </si>
  <si>
    <t xml:space="preserve">All UAT scripts pass or have accepted workarounds.</t>
  </si>
  <si>
    <t xml:space="preserve">OPS-001</t>
  </si>
  <si>
    <t xml:space="preserve">DevOps</t>
  </si>
  <si>
    <t xml:space="preserve">Environments and CI/CD integration</t>
  </si>
  <si>
    <t xml:space="preserve">Staging and production configuration for the module in the existing pipeline; feature flags.</t>
  </si>
  <si>
    <t xml:space="preserve">Module deployable behind a feature flag; rollback rehearsed.</t>
  </si>
  <si>
    <t xml:space="preserve">OPS-002</t>
  </si>
  <si>
    <t xml:space="preserve">Observability</t>
  </si>
  <si>
    <t xml:space="preserve">Structured logs, metrics (latency, errors), dashboards and alerts for module routes and jobs.</t>
  </si>
  <si>
    <t xml:space="preserve">NFR-OBS</t>
  </si>
  <si>
    <t xml:space="preserve">SLO dashboards live; alert test fires to on-call channel.</t>
  </si>
  <si>
    <t xml:space="preserve">OPS-003</t>
  </si>
  <si>
    <t xml:space="preserve">Backup and restore verification</t>
  </si>
  <si>
    <t xml:space="preserve">Confirm module tables are in existing backups; run a restore drill.</t>
  </si>
  <si>
    <t xml:space="preserve">NFR-BAK</t>
  </si>
  <si>
    <t xml:space="preserve">Restore drill RTO/RPO within Section 33 targets.</t>
  </si>
  <si>
    <t xml:space="preserve">ANL-001</t>
  </si>
  <si>
    <t xml:space="preserve">Analytics</t>
  </si>
  <si>
    <t xml:space="preserve">Event instrumentation</t>
  </si>
  <si>
    <t xml:space="preserve">Implement MVP events from Section 32.3 with consent-aware tracking.</t>
  </si>
  <si>
    <t xml:space="preserve">Events visible in analytics store with schema validation; no PII in event properties.</t>
  </si>
  <si>
    <t xml:space="preserve">ANL-002</t>
  </si>
  <si>
    <t xml:space="preserve">MVP metrics dashboard</t>
  </si>
  <si>
    <t xml:space="preserve">Activation, entry completion, retention, funnel dashboards.</t>
  </si>
  <si>
    <t xml:space="preserve">Dashboard reviewed by PM; definitions match Section 32.</t>
  </si>
  <si>
    <t xml:space="preserve">REL-001</t>
  </si>
  <si>
    <t xml:space="preserve">Release management</t>
  </si>
  <si>
    <t xml:space="preserve">Pilot launch plan</t>
  </si>
  <si>
    <t xml:space="preserve">Closed pilot with 3–5 schools/communities, support playbook, feedback loop, go/no-go criteria.</t>
  </si>
  <si>
    <t xml:space="preserve">Pilot run sheet approved; support macros in Lao ready.</t>
  </si>
  <si>
    <t xml:space="preserve">REL-002</t>
  </si>
  <si>
    <t xml:space="preserve">General availability launch</t>
  </si>
  <si>
    <t xml:space="preserve">Gradual rollout via feature flag (10% → 50% → 100% of Academy users).</t>
  </si>
  <si>
    <t xml:space="preserve">Exit criteria in Section 37 Phase 1 met.</t>
  </si>
  <si>
    <t xml:space="preserve">P2-OCR</t>
  </si>
  <si>
    <t xml:space="preserve">2 OCR &amp; analysis</t>
  </si>
  <si>
    <t xml:space="preserve">OCR pipeline and review UI</t>
  </si>
  <si>
    <t xml:space="preserve">Upload, quality checks, async job workers, extraction schema, subject matching, review/confirm screen, duplicate detection, retention.</t>
  </si>
  <si>
    <t xml:space="preserve">AI-RES-001, Phase 1</t>
  </si>
  <si>
    <t xml:space="preserve">OCR-001..012</t>
  </si>
  <si>
    <t xml:space="preserve">Section 35.4 OCR gates met on hold-out set.</t>
  </si>
  <si>
    <t xml:space="preserve">P2-ANL</t>
  </si>
  <si>
    <t xml:space="preserve">Analysis engine v2 and diagnostics</t>
  </si>
  <si>
    <t xml:space="preserve">Strength/weakness classification, trend tests, diagnostic quizzes, conflicting-evidence rules.</t>
  </si>
  <si>
    <t xml:space="preserve">Phase 1</t>
  </si>
  <si>
    <t xml:space="preserve">ANALYSIS-002..007, QUIZ-001..005</t>
  </si>
  <si>
    <t xml:space="preserve">Golden tests pass; reviewer sign-off on explanation templates.</t>
  </si>
  <si>
    <t xml:space="preserve">P2-REC</t>
  </si>
  <si>
    <t xml:space="preserve">Rules-based recommendations and content tagging</t>
  </si>
  <si>
    <t xml:space="preserve">Content metadata integration with Academy/Bookstore, rules engine, feedback loop.</t>
  </si>
  <si>
    <t xml:space="preserve">P2-ANL, OD-05</t>
  </si>
  <si>
    <t xml:space="preserve">LEARN-001..005, LEARN-007</t>
  </si>
  <si>
    <t xml:space="preserve">Only published catalogue items recommended in 100% of tests.</t>
  </si>
  <si>
    <t xml:space="preserve">P3-PAR</t>
  </si>
  <si>
    <t xml:space="preserve">3 Parent, AI &amp; premium</t>
  </si>
  <si>
    <t xml:space="preserve">Guardian linking, parent dashboard and reports</t>
  </si>
  <si>
    <t xml:space="preserve">Invite/confirm flows, scopes, reports, disputes, age-of-majority handling.</t>
  </si>
  <si>
    <t xml:space="preserve">LEG-001, Phase 1</t>
  </si>
  <si>
    <t xml:space="preserve">PARENT-001..009</t>
  </si>
  <si>
    <t xml:space="preserve">Parent authorisation gate (Section 35.4) passed.</t>
  </si>
  <si>
    <t xml:space="preserve">P3-AI</t>
  </si>
  <si>
    <t xml:space="preserve">AI Coach academic mode</t>
  </si>
  <si>
    <t xml:space="preserve">Tool-scoped retrieval, prompts, safety layer, caching, evaluation pipeline, feedback.</t>
  </si>
  <si>
    <t xml:space="preserve">P2-ANL, OD-08</t>
  </si>
  <si>
    <t xml:space="preserve">AI-001..009</t>
  </si>
  <si>
    <t xml:space="preserve">AI gates in Section 35.4 passed.</t>
  </si>
  <si>
    <t xml:space="preserve">P3-BIL</t>
  </si>
  <si>
    <t xml:space="preserve">Entitlements and premium packaging</t>
  </si>
  <si>
    <t xml:space="preserve">Entitlement service linked to Academy subscription, quotas, family plan, manual activation tooling.</t>
  </si>
  <si>
    <t xml:space="preserve">BILLING-001..007</t>
  </si>
  <si>
    <t xml:space="preserve">Entitlement gate passed.</t>
  </si>
  <si>
    <t xml:space="preserve">P3-PLAN</t>
  </si>
  <si>
    <t xml:space="preserve">Study planner and goals</t>
  </si>
  <si>
    <t xml:space="preserve">Goals, feasibility, weekly tasks, reschedule, pause, optional XP integration.</t>
  </si>
  <si>
    <t xml:space="preserve">PLAN-001..006</t>
  </si>
  <si>
    <t xml:space="preserve">Usability test: 80% of students create a plan unaided.</t>
  </si>
  <si>
    <t xml:space="preserve">P4-CAR</t>
  </si>
  <si>
    <t xml:space="preserve">4 Career guidance</t>
  </si>
  <si>
    <t xml:space="preserve">Career guidance and pathways database</t>
  </si>
  <si>
    <t xml:space="preserve">Questionnaire, explainable ranking, programme database with provenance, career report, explorer integration.</t>
  </si>
  <si>
    <t xml:space="preserve">Phase 2, ADMIN-010</t>
  </si>
  <si>
    <t xml:space="preserve">CAREER-001..010, UNI-001..005</t>
  </si>
  <si>
    <t xml:space="preserve">Career provenance gate passed; fairness evaluation passed.</t>
  </si>
  <si>
    <t xml:space="preserve">P5-EXAM</t>
  </si>
  <si>
    <t xml:space="preserve">5 Exams &amp; ecosystem</t>
  </si>
  <si>
    <t xml:space="preserve">Mock exams and ecosystem</t>
  </si>
  <si>
    <t xml:space="preserve">Mock exams to verified blueprints, Bookstore recommendations, teacher tools discovery.</t>
  </si>
  <si>
    <t xml:space="preserve">Phase 4</t>
  </si>
  <si>
    <t xml:space="preserve">EXAM-001..003, LEARN-006</t>
  </si>
  <si>
    <t xml:space="preserve">Content licensing register complete; blueprint verified for the current year.</t>
  </si>
  <si>
    <t xml:space="preserve">Effort summary (ideal person-days) — formulas reference 'WBS &amp; Backlog'</t>
  </si>
  <si>
    <t xml:space="preserve">Contingency %</t>
  </si>
  <si>
    <t xml:space="preserve">Assumption: 20–30% recommended in PRD Section 38; edit to test scenarios.</t>
  </si>
  <si>
    <t xml:space="preserve">Tasks</t>
  </si>
  <si>
    <t xml:space="preserve">Low</t>
  </si>
  <si>
    <t xml:space="preserve">High</t>
  </si>
  <si>
    <t xml:space="preserve">Mid</t>
  </si>
  <si>
    <t xml:space="preserve">High incl. contingency</t>
  </si>
  <si>
    <t xml:space="preserve">Total</t>
  </si>
  <si>
    <t xml:space="preserve">Phase 1 workstream</t>
  </si>
  <si>
    <t xml:space="preserve">Decision</t>
  </si>
  <si>
    <t xml:space="preserve">Options</t>
  </si>
  <si>
    <t xml:space="preserve">Recommendation</t>
  </si>
  <si>
    <t xml:space="preserve">Needed by</t>
  </si>
  <si>
    <t xml:space="preserve">Decision made</t>
  </si>
  <si>
    <t xml:space="preserve">Decided by</t>
  </si>
  <si>
    <t xml:space="preserve">Date</t>
  </si>
  <si>
    <t xml:space="preserve">OD-01</t>
  </si>
  <si>
    <t xml:space="preserve">Grant codebase/infrastructure access; confirm identity model and architecture option</t>
  </si>
  <si>
    <t xml:space="preserve">Option 1/2 vs 3</t>
  </si>
  <si>
    <t xml:space="preserve">Option 1/2 (modular monolith) if feasible</t>
  </si>
  <si>
    <t xml:space="preserve">Before Phase 1</t>
  </si>
  <si>
    <t xml:space="preserve">OD-02</t>
  </si>
  <si>
    <t xml:space="preserve">MVP grade scope and platform</t>
  </si>
  <si>
    <t xml:space="preserve">Grades 10–12 web/PWA; include 6–9; native app</t>
  </si>
  <si>
    <t xml:space="preserve">Grades 10–12, responsive web/PWA</t>
  </si>
  <si>
    <t xml:space="preserve">AI/OCR provider policy and data residency</t>
  </si>
  <si>
    <t xml:space="preserve">Hosted provider with DPA; regional; self-hosted</t>
  </si>
  <si>
    <t xml:space="preserve">Hosted with no-training, minimal retention, consent; revisit after counsel</t>
  </si>
  <si>
    <t xml:space="preserve">Before Phase 2</t>
  </si>
  <si>
    <t xml:space="preserve">OD-04</t>
  </si>
  <si>
    <t xml:space="preserve">Navigation placement, routes, language storage, digit display</t>
  </si>
  <si>
    <t xml:space="preserve">"My Scores" in Academy nav; Arabic digits display</t>
  </si>
  <si>
    <t xml:space="preserve">Before Phase 1 design</t>
  </si>
  <si>
    <t xml:space="preserve">Access to Academy content model and completion events</t>
  </si>
  <si>
    <t xml:space="preserve">API / DB read / manual import</t>
  </si>
  <si>
    <t xml:space="preserve">Read API or events</t>
  </si>
  <si>
    <t xml:space="preserve">OD-06</t>
  </si>
  <si>
    <t xml:space="preserve">Bookstore catalogue access for recommendations</t>
  </si>
  <si>
    <t xml:space="preserve">API / DB read</t>
  </si>
  <si>
    <t xml:space="preserve">Read API; Phase 5</t>
  </si>
  <si>
    <t xml:space="preserve">Before Phase 5</t>
  </si>
  <si>
    <t xml:space="preserve">Consent model and age thresholds (after counsel)</t>
  </si>
  <si>
    <t xml:space="preserve">Section 29.3 options</t>
  </si>
  <si>
    <t xml:space="preserve">Conservative default until opinion</t>
  </si>
  <si>
    <t xml:space="preserve">Before Phase 1 launch</t>
  </si>
  <si>
    <t xml:space="preserve">OD-08</t>
  </si>
  <si>
    <t xml:space="preserve">AI Coach academic mode vs separate assistant</t>
  </si>
  <si>
    <t xml:space="preserve">Extend Coach / embed new</t>
  </si>
  <si>
    <t xml:space="preserve">Extend Coach</t>
  </si>
  <si>
    <t xml:space="preserve">Before Phase 3</t>
  </si>
  <si>
    <t xml:space="preserve">OD-09</t>
  </si>
  <si>
    <t xml:space="preserve">Integrate study tasks with XP &amp; streaks</t>
  </si>
  <si>
    <t xml:space="preserve">Yes non-punitive / No</t>
  </si>
  <si>
    <t xml:space="preserve">Yes, opt-in, no streak loss</t>
  </si>
  <si>
    <t xml:space="preserve">Career Explorer data provenance and personalisation</t>
  </si>
  <si>
    <t xml:space="preserve">Add sources / hide salary</t>
  </si>
  <si>
    <t xml:space="preserve">Add sources; hide unsourced figures in personalised views</t>
  </si>
  <si>
    <t xml:space="preserve">Before Phase 4</t>
  </si>
  <si>
    <t xml:space="preserve">Packaging and prices; quotas</t>
  </si>
  <si>
    <t xml:space="preserve">Inside Premium; add-ons; prices to test</t>
  </si>
  <si>
    <t xml:space="preserve">Inside Premium + Family + one-time report; test prices in 30.5</t>
  </si>
  <si>
    <t xml:space="preserve">OD-12</t>
  </si>
  <si>
    <t xml:space="preserve">SMS/telco billing/messaging channels</t>
  </si>
  <si>
    <t xml:space="preserve">Now / later</t>
  </si>
  <si>
    <t xml:space="preserve">Later after cost study</t>
  </si>
  <si>
    <t xml:space="preserve">Phase 5</t>
  </si>
  <si>
    <t xml:space="preserve">OD-13</t>
  </si>
  <si>
    <t xml:space="preserve">Admin MFA method</t>
  </si>
  <si>
    <t xml:space="preserve">Existing / new</t>
  </si>
  <si>
    <t xml:space="preserve">Use existing if available; else TOTP</t>
  </si>
  <si>
    <t xml:space="preserve">OD-14</t>
  </si>
  <si>
    <t xml:space="preserve">Any cohort comparison or composite index</t>
  </si>
  <si>
    <t xml:space="preserve">Never / later with methodology</t>
  </si>
  <si>
    <t xml:space="preserve">Not in Phases 1–5</t>
  </si>
  <si>
    <t xml:space="preserve">OD-15</t>
  </si>
  <si>
    <t xml:space="preserve">Crisis/safeguarding help information for Lao PDR</t>
  </si>
  <si>
    <t xml:space="preserve">Owner to approve vetted local resources</t>
  </si>
  <si>
    <t xml:space="preserve">OD-16</t>
  </si>
  <si>
    <t xml:space="preserve">Retention periods</t>
  </si>
  <si>
    <t xml:space="preserve">Section 29.7</t>
  </si>
  <si>
    <t xml:space="preserve">Adopt after counsel</t>
  </si>
  <si>
    <t xml:space="preserve">OD-17</t>
  </si>
  <si>
    <t xml:space="preserve">Teacher/tutor model (revenue share, access)</t>
  </si>
  <si>
    <t xml:space="preserve">Discovery in Phase 5</t>
  </si>
  <si>
    <t xml:space="preserve">OD-18</t>
  </si>
  <si>
    <t xml:space="preserve">Voluntary demographic data for fairness monitoring</t>
  </si>
  <si>
    <t xml:space="preserve">Collect separately with consent / do not collect</t>
  </si>
  <si>
    <t xml:space="preserve">Do not collect initially; revisit</t>
  </si>
  <si>
    <t xml:space="preserve">OD-19</t>
  </si>
  <si>
    <t xml:space="preserve">OCR release gate thresholds</t>
  </si>
  <si>
    <t xml:space="preserve">Section 35.4</t>
  </si>
  <si>
    <t xml:space="preserve">Adopt as proposed</t>
  </si>
  <si>
    <t xml:space="preserve">OD-20</t>
  </si>
  <si>
    <t xml:space="preserve">Staffing for content and pathways reviews</t>
  </si>
  <si>
    <t xml:space="preserve">1 education content manager + 2 part-time reviewers</t>
  </si>
  <si>
    <t xml:space="preserve">Before Phase 2/4</t>
  </si>
  <si>
    <t xml:space="preserve">Risk</t>
  </si>
  <si>
    <t xml:space="preserve">Category</t>
  </si>
  <si>
    <t xml:space="preserve">Likelihood</t>
  </si>
  <si>
    <t xml:space="preserve">Impact</t>
  </si>
  <si>
    <t xml:space="preserve">Mitigation</t>
  </si>
  <si>
    <t xml:space="preserve">Decision required</t>
  </si>
  <si>
    <t xml:space="preserve">R-01</t>
  </si>
  <si>
    <t xml:space="preserve">Incorrect score extraction by OCR</t>
  </si>
  <si>
    <t xml:space="preserve">AI/quality</t>
  </si>
  <si>
    <t xml:space="preserve">Mandatory confirmation; confidence highlighting; silent-error gate ≤ 2%; manual entry equal; correction monitoring</t>
  </si>
  <si>
    <t xml:space="preserve">AI engineer</t>
  </si>
  <si>
    <t xml:space="preserve">Approve OCR release gate (OD-19)</t>
  </si>
  <si>
    <t xml:space="preserve">R-02</t>
  </si>
  <si>
    <t xml:space="preserve">Variability in school grading</t>
  </si>
  <si>
    <t xml:space="preserve">Domain</t>
  </si>
  <si>
    <t xml:space="preserve">Medium</t>
  </si>
  <si>
    <t xml:space="preserve">Configurable versioned scales; no cross-school comparison; school aliases; educator review</t>
  </si>
  <si>
    <t xml:space="preserve">Education content</t>
  </si>
  <si>
    <t xml:space="preserve">Default scale &amp; calendar (OD-02)</t>
  </si>
  <si>
    <t xml:space="preserve">R-03</t>
  </si>
  <si>
    <t xml:space="preserve">Insufficient academic data (students stop recording)</t>
  </si>
  <si>
    <t xml:space="preserve">Product</t>
  </si>
  <si>
    <t xml:space="preserve">90-s entry; reminders; value after 2 months; concierge validation; parent involvement later</t>
  </si>
  <si>
    <t xml:space="preserve">PM</t>
  </si>
  <si>
    <t xml:space="preserve">Pilot go/no-go thresholds</t>
  </si>
  <si>
    <t xml:space="preserve">R-04</t>
  </si>
  <si>
    <t xml:space="preserve">Poor AI Lao-language responses</t>
  </si>
  <si>
    <t xml:space="preserve">AI</t>
  </si>
  <si>
    <t xml:space="preserve">Native-rater evaluation; templates fallback; simple Lao glossary; AI only after deterministic outputs</t>
  </si>
  <si>
    <t xml:space="preserve">Model/provider selection (OD-03)</t>
  </si>
  <si>
    <t xml:space="preserve">R-05</t>
  </si>
  <si>
    <t xml:space="preserve">Misleading career recommendations</t>
  </si>
  <si>
    <t xml:space="preserve">Ethics</t>
  </si>
  <si>
    <t xml:space="preserve">Interests-first, multiple options, no scores-only steering, factors shown, fairness tests, discussion prompts</t>
  </si>
  <si>
    <t xml:space="preserve">Career content</t>
  </si>
  <si>
    <t xml:space="preserve">Approve methodology (Section 22)</t>
  </si>
  <si>
    <t xml:space="preserve">R-06</t>
  </si>
  <si>
    <t xml:space="preserve">Outdated university information</t>
  </si>
  <si>
    <t xml:space="preserve">Content</t>
  </si>
  <si>
    <t xml:space="preserve">Provenance fields, review_by, expiry alerts, annual refresh, out-of-date labels</t>
  </si>
  <si>
    <t xml:space="preserve">Staffing for reviews (OD-20)</t>
  </si>
  <si>
    <t xml:space="preserve">R-07</t>
  </si>
  <si>
    <t xml:space="preserve">Privacy risks involving minors</t>
  </si>
  <si>
    <t xml:space="preserve">Legal/safety</t>
  </si>
  <si>
    <t xml:space="preserve">Very high</t>
  </si>
  <si>
    <t xml:space="preserve">Legal review; minimisation; consent model; two-sided guardian links; audit; breach plan</t>
  </si>
  <si>
    <t xml:space="preserve">Consent model (OD-07)</t>
  </si>
  <si>
    <t xml:space="preserve">R-08</t>
  </si>
  <si>
    <t xml:space="preserve">Low willingness to pay</t>
  </si>
  <si>
    <t xml:space="preserve">Commercial</t>
  </si>
  <si>
    <t xml:space="preserve">Free core; Premium bundling; career report; price tests; parent-focused value</t>
  </si>
  <si>
    <t xml:space="preserve">Packaging &amp; prices (OD-11)</t>
  </si>
  <si>
    <t xml:space="preserve">R-09</t>
  </si>
  <si>
    <t xml:space="preserve">AI operating cost</t>
  </si>
  <si>
    <t xml:space="preserve">Quotas, caching, cheaper models for simple tasks, budget rule (30.6)</t>
  </si>
  <si>
    <t xml:space="preserve">Cost budget</t>
  </si>
  <si>
    <t xml:space="preserve">R-10</t>
  </si>
  <si>
    <t xml:space="preserve">Limited content availability</t>
  </si>
  <si>
    <t xml:space="preserve">Start with 4 subjects; content-gap tracking; tutor partnerships; Academy reuse</t>
  </si>
  <si>
    <t xml:space="preserve">Content investment</t>
  </si>
  <si>
    <t xml:space="preserve">R-11</t>
  </si>
  <si>
    <t xml:space="preserve">Difficult integration with existing codebase</t>
  </si>
  <si>
    <t xml:space="preserve">Technical</t>
  </si>
  <si>
    <t xml:space="preserve">Discovery first; adapters; Option 3 fallback</t>
  </si>
  <si>
    <t xml:space="preserve">Architect</t>
  </si>
  <si>
    <t xml:space="preserve">Architecture option (OD-01)</t>
  </si>
  <si>
    <t xml:space="preserve">R-12</t>
  </si>
  <si>
    <t xml:space="preserve">Students feel monitored by parents</t>
  </si>
  <si>
    <t xml:space="preserve">Product/ethics</t>
  </si>
  <si>
    <t xml:space="preserve">Student-controlled scopes; AI chats never shared; supportive report tone</t>
  </si>
  <si>
    <t xml:space="preserve">Default scopes</t>
  </si>
  <si>
    <t xml:space="preserve">R-13</t>
  </si>
  <si>
    <t xml:space="preserve">Policy change (6+3+3, exam format)</t>
  </si>
  <si>
    <t xml:space="preserve">External</t>
  </si>
  <si>
    <t xml:space="preserve">High (certain over time)</t>
  </si>
  <si>
    <t xml:space="preserve">Education-structure versioning; yearly blueprint verification</t>
  </si>
  <si>
    <t xml:space="preserve">R-14</t>
  </si>
  <si>
    <t xml:space="preserve">Shared phones and account takeover</t>
  </si>
  <si>
    <t xml:space="preserve">Re-auth on sensitive actions; session controls</t>
  </si>
  <si>
    <t xml:space="preserve">R-15</t>
  </si>
  <si>
    <t xml:space="preserve">Reputational harm from "official-looking" reports</t>
  </si>
  <si>
    <t xml:space="preserve">Trust</t>
  </si>
  <si>
    <t xml:space="preserve">"Self-reported" labelling; no school logos</t>
  </si>
</sst>
</file>

<file path=xl/styles.xml><?xml version="1.0" encoding="utf-8"?>
<styleSheet xmlns="http://schemas.openxmlformats.org/spreadsheetml/2006/main">
  <numFmts count="3">
    <numFmt numFmtId="164" formatCode="General"/>
    <numFmt numFmtId="165" formatCode="0.0"/>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2"/>
      <color rgb="FF1E3A5F"/>
      <name val="Arial"/>
      <family val="0"/>
      <charset val="1"/>
    </font>
    <font>
      <sz val="10"/>
      <color rgb="FF000000"/>
      <name val="Arial"/>
      <family val="0"/>
      <charset val="1"/>
    </font>
    <font>
      <b val="true"/>
      <sz val="10"/>
      <color rgb="FF1E3A5F"/>
      <name val="Arial"/>
      <family val="0"/>
      <charset val="1"/>
    </font>
    <font>
      <b val="true"/>
      <sz val="10"/>
      <color rgb="FFFFFFFF"/>
      <name val="Arial"/>
      <family val="0"/>
      <charset val="1"/>
    </font>
    <font>
      <b val="true"/>
      <sz val="9"/>
      <name val="Arial"/>
      <family val="0"/>
      <charset val="1"/>
    </font>
    <font>
      <sz val="9"/>
      <name val="Arial"/>
      <family val="0"/>
      <charset val="1"/>
    </font>
    <font>
      <sz val="9"/>
      <color rgb="FF0000FF"/>
      <name val="Arial"/>
      <family val="0"/>
      <charset val="1"/>
    </font>
    <font>
      <sz val="10"/>
      <color rgb="FF0000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E3A5F"/>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8C4D2"/>
      </left>
      <right style="thin">
        <color rgb="FFB8C4D2"/>
      </right>
      <top style="thin">
        <color rgb="FFB8C4D2"/>
      </top>
      <bottom style="thin">
        <color rgb="FFB8C4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E3A5F"/>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4D2"/>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E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3.85" hidden="false" customHeight="false" outlineLevel="0" collapsed="false">
      <c r="A12" s="2" t="s">
        <v>9</v>
      </c>
    </row>
    <row r="13" customFormat="false" ht="23.8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7"/>
    <col collapsed="false" customWidth="true" hidden="false" outlineLevel="0" max="4" min="4" style="0" width="8"/>
    <col collapsed="false" customWidth="true" hidden="false" outlineLevel="0" max="5" min="5" style="0" width="55"/>
    <col collapsed="false" customWidth="true" hidden="false" outlineLevel="0" max="6" min="6" style="0" width="22"/>
    <col collapsed="false" customWidth="true" hidden="false" outlineLevel="0" max="7" min="7" style="0" width="80"/>
    <col collapsed="false" customWidth="true" hidden="false" outlineLevel="0" max="8" min="8" style="0" width="40"/>
    <col collapsed="false" customWidth="true" hidden="false" outlineLevel="0" max="9" min="9" style="0" width="13"/>
    <col collapsed="false" customWidth="true" hidden="false" outlineLevel="0" max="10" min="10" style="0" width="16"/>
  </cols>
  <sheetData>
    <row r="1" customFormat="false" ht="30" hidden="false" customHeight="true" outlineLevel="0" collapsed="false">
      <c r="A1" s="4" t="s">
        <v>13</v>
      </c>
      <c r="B1" s="4" t="s">
        <v>14</v>
      </c>
      <c r="C1" s="4" t="s">
        <v>15</v>
      </c>
      <c r="D1" s="4" t="s">
        <v>16</v>
      </c>
      <c r="E1" s="4" t="s">
        <v>17</v>
      </c>
      <c r="F1" s="4" t="s">
        <v>18</v>
      </c>
      <c r="G1" s="4" t="s">
        <v>19</v>
      </c>
      <c r="H1" s="4" t="s">
        <v>20</v>
      </c>
      <c r="I1" s="4" t="s">
        <v>21</v>
      </c>
      <c r="J1" s="4" t="s">
        <v>22</v>
      </c>
    </row>
    <row r="2" customFormat="false" ht="43.25" hidden="false" customHeight="false" outlineLevel="0" collapsed="false">
      <c r="A2" s="5" t="s">
        <v>23</v>
      </c>
      <c r="B2" s="6" t="s">
        <v>24</v>
      </c>
      <c r="C2" s="6" t="n">
        <v>1</v>
      </c>
      <c r="D2" s="6" t="s">
        <v>25</v>
      </c>
      <c r="E2" s="6" t="s">
        <v>26</v>
      </c>
      <c r="F2" s="6" t="s">
        <v>27</v>
      </c>
      <c r="G2" s="6" t="s">
        <v>28</v>
      </c>
      <c r="H2" s="6" t="s">
        <v>29</v>
      </c>
      <c r="I2" s="7" t="s">
        <v>30</v>
      </c>
      <c r="J2" s="7"/>
    </row>
    <row r="3" customFormat="false" ht="32.8" hidden="false" customHeight="false" outlineLevel="0" collapsed="false">
      <c r="A3" s="5" t="s">
        <v>31</v>
      </c>
      <c r="B3" s="6" t="s">
        <v>24</v>
      </c>
      <c r="C3" s="6" t="n">
        <v>1</v>
      </c>
      <c r="D3" s="6" t="s">
        <v>25</v>
      </c>
      <c r="E3" s="6" t="s">
        <v>32</v>
      </c>
      <c r="F3" s="6" t="s">
        <v>23</v>
      </c>
      <c r="G3" s="6" t="s">
        <v>33</v>
      </c>
      <c r="H3" s="6" t="s">
        <v>34</v>
      </c>
      <c r="I3" s="7" t="s">
        <v>30</v>
      </c>
      <c r="J3" s="7"/>
    </row>
    <row r="4" customFormat="false" ht="22.35" hidden="false" customHeight="false" outlineLevel="0" collapsed="false">
      <c r="A4" s="5" t="s">
        <v>35</v>
      </c>
      <c r="B4" s="6" t="s">
        <v>24</v>
      </c>
      <c r="C4" s="6" t="n">
        <v>1</v>
      </c>
      <c r="D4" s="6" t="s">
        <v>25</v>
      </c>
      <c r="E4" s="6" t="s">
        <v>36</v>
      </c>
      <c r="F4" s="6" t="s">
        <v>37</v>
      </c>
      <c r="G4" s="6" t="s">
        <v>38</v>
      </c>
      <c r="H4" s="6" t="s">
        <v>39</v>
      </c>
      <c r="I4" s="7" t="s">
        <v>30</v>
      </c>
      <c r="J4" s="7"/>
    </row>
    <row r="5" customFormat="false" ht="32.8" hidden="false" customHeight="false" outlineLevel="0" collapsed="false">
      <c r="A5" s="5" t="s">
        <v>40</v>
      </c>
      <c r="B5" s="6" t="s">
        <v>24</v>
      </c>
      <c r="C5" s="6" t="n">
        <v>3</v>
      </c>
      <c r="D5" s="6" t="s">
        <v>41</v>
      </c>
      <c r="E5" s="6" t="s">
        <v>42</v>
      </c>
      <c r="F5" s="6" t="s">
        <v>43</v>
      </c>
      <c r="G5" s="6" t="s">
        <v>44</v>
      </c>
      <c r="H5" s="6"/>
      <c r="I5" s="7" t="s">
        <v>30</v>
      </c>
      <c r="J5" s="7"/>
    </row>
    <row r="6" customFormat="false" ht="53.7" hidden="false" customHeight="false" outlineLevel="0" collapsed="false">
      <c r="A6" s="5" t="s">
        <v>45</v>
      </c>
      <c r="B6" s="6" t="s">
        <v>46</v>
      </c>
      <c r="C6" s="6" t="n">
        <v>1</v>
      </c>
      <c r="D6" s="6" t="s">
        <v>25</v>
      </c>
      <c r="E6" s="6" t="s">
        <v>47</v>
      </c>
      <c r="F6" s="6" t="s">
        <v>48</v>
      </c>
      <c r="G6" s="6" t="s">
        <v>49</v>
      </c>
      <c r="H6" s="6" t="s">
        <v>50</v>
      </c>
      <c r="I6" s="7" t="s">
        <v>30</v>
      </c>
      <c r="J6" s="7"/>
    </row>
    <row r="7" customFormat="false" ht="32.8" hidden="false" customHeight="false" outlineLevel="0" collapsed="false">
      <c r="A7" s="5" t="s">
        <v>51</v>
      </c>
      <c r="B7" s="6" t="s">
        <v>46</v>
      </c>
      <c r="C7" s="6" t="n">
        <v>1</v>
      </c>
      <c r="D7" s="6" t="s">
        <v>25</v>
      </c>
      <c r="E7" s="6" t="s">
        <v>52</v>
      </c>
      <c r="F7" s="6" t="s">
        <v>53</v>
      </c>
      <c r="G7" s="6" t="s">
        <v>54</v>
      </c>
      <c r="H7" s="6"/>
      <c r="I7" s="7" t="s">
        <v>30</v>
      </c>
      <c r="J7" s="7"/>
    </row>
    <row r="8" customFormat="false" ht="32.8" hidden="false" customHeight="false" outlineLevel="0" collapsed="false">
      <c r="A8" s="5" t="s">
        <v>55</v>
      </c>
      <c r="B8" s="6" t="s">
        <v>46</v>
      </c>
      <c r="C8" s="6" t="n">
        <v>1</v>
      </c>
      <c r="D8" s="6" t="s">
        <v>25</v>
      </c>
      <c r="E8" s="6" t="s">
        <v>56</v>
      </c>
      <c r="F8" s="6" t="s">
        <v>57</v>
      </c>
      <c r="G8" s="6" t="s">
        <v>58</v>
      </c>
      <c r="H8" s="6"/>
      <c r="I8" s="7" t="s">
        <v>30</v>
      </c>
      <c r="J8" s="7"/>
    </row>
    <row r="9" customFormat="false" ht="43.25" hidden="false" customHeight="false" outlineLevel="0" collapsed="false">
      <c r="A9" s="5" t="s">
        <v>59</v>
      </c>
      <c r="B9" s="6" t="s">
        <v>46</v>
      </c>
      <c r="C9" s="6" t="n">
        <v>1</v>
      </c>
      <c r="D9" s="6" t="s">
        <v>25</v>
      </c>
      <c r="E9" s="6" t="s">
        <v>60</v>
      </c>
      <c r="F9" s="6" t="s">
        <v>45</v>
      </c>
      <c r="G9" s="6" t="s">
        <v>61</v>
      </c>
      <c r="H9" s="6"/>
      <c r="I9" s="7" t="s">
        <v>30</v>
      </c>
      <c r="J9" s="7"/>
    </row>
    <row r="10" customFormat="false" ht="32.8" hidden="false" customHeight="false" outlineLevel="0" collapsed="false">
      <c r="A10" s="5" t="s">
        <v>62</v>
      </c>
      <c r="B10" s="6" t="s">
        <v>46</v>
      </c>
      <c r="C10" s="6" t="n">
        <v>1</v>
      </c>
      <c r="D10" s="6" t="s">
        <v>41</v>
      </c>
      <c r="E10" s="6" t="s">
        <v>63</v>
      </c>
      <c r="F10" s="6" t="s">
        <v>64</v>
      </c>
      <c r="G10" s="6" t="s">
        <v>65</v>
      </c>
      <c r="H10" s="6"/>
      <c r="I10" s="7" t="s">
        <v>30</v>
      </c>
      <c r="J10" s="7"/>
    </row>
    <row r="11" customFormat="false" ht="32.8" hidden="false" customHeight="false" outlineLevel="0" collapsed="false">
      <c r="A11" s="5" t="s">
        <v>66</v>
      </c>
      <c r="B11" s="6" t="s">
        <v>46</v>
      </c>
      <c r="C11" s="6" t="n">
        <v>1</v>
      </c>
      <c r="D11" s="6" t="s">
        <v>41</v>
      </c>
      <c r="E11" s="6" t="s">
        <v>67</v>
      </c>
      <c r="F11" s="6" t="s">
        <v>45</v>
      </c>
      <c r="G11" s="6" t="s">
        <v>68</v>
      </c>
      <c r="H11" s="6"/>
      <c r="I11" s="7" t="s">
        <v>30</v>
      </c>
      <c r="J11" s="7"/>
    </row>
    <row r="12" customFormat="false" ht="22.35" hidden="false" customHeight="false" outlineLevel="0" collapsed="false">
      <c r="A12" s="5" t="s">
        <v>69</v>
      </c>
      <c r="B12" s="6" t="s">
        <v>46</v>
      </c>
      <c r="C12" s="6" t="n">
        <v>1</v>
      </c>
      <c r="D12" s="6" t="s">
        <v>25</v>
      </c>
      <c r="E12" s="6" t="s">
        <v>70</v>
      </c>
      <c r="F12" s="6" t="s">
        <v>71</v>
      </c>
      <c r="G12" s="6" t="s">
        <v>72</v>
      </c>
      <c r="H12" s="6"/>
      <c r="I12" s="7" t="s">
        <v>30</v>
      </c>
      <c r="J12" s="7"/>
    </row>
    <row r="13" customFormat="false" ht="32.8" hidden="false" customHeight="false" outlineLevel="0" collapsed="false">
      <c r="A13" s="5" t="s">
        <v>73</v>
      </c>
      <c r="B13" s="6" t="s">
        <v>46</v>
      </c>
      <c r="C13" s="6" t="n">
        <v>2</v>
      </c>
      <c r="D13" s="6" t="s">
        <v>74</v>
      </c>
      <c r="E13" s="6" t="s">
        <v>75</v>
      </c>
      <c r="F13" s="6" t="s">
        <v>76</v>
      </c>
      <c r="G13" s="6" t="s">
        <v>77</v>
      </c>
      <c r="H13" s="6" t="s">
        <v>78</v>
      </c>
      <c r="I13" s="7" t="s">
        <v>30</v>
      </c>
      <c r="J13" s="7"/>
    </row>
    <row r="14" customFormat="false" ht="32.8" hidden="false" customHeight="false" outlineLevel="0" collapsed="false">
      <c r="A14" s="5" t="s">
        <v>79</v>
      </c>
      <c r="B14" s="6" t="s">
        <v>80</v>
      </c>
      <c r="C14" s="6" t="n">
        <v>1</v>
      </c>
      <c r="D14" s="6" t="s">
        <v>25</v>
      </c>
      <c r="E14" s="6" t="s">
        <v>81</v>
      </c>
      <c r="F14" s="6" t="s">
        <v>82</v>
      </c>
      <c r="G14" s="6" t="s">
        <v>83</v>
      </c>
      <c r="H14" s="6" t="s">
        <v>84</v>
      </c>
      <c r="I14" s="7" t="s">
        <v>30</v>
      </c>
      <c r="J14" s="7"/>
    </row>
    <row r="15" customFormat="false" ht="32.8" hidden="false" customHeight="false" outlineLevel="0" collapsed="false">
      <c r="A15" s="5" t="s">
        <v>85</v>
      </c>
      <c r="B15" s="6" t="s">
        <v>80</v>
      </c>
      <c r="C15" s="6" t="n">
        <v>1</v>
      </c>
      <c r="D15" s="6" t="s">
        <v>25</v>
      </c>
      <c r="E15" s="6" t="s">
        <v>86</v>
      </c>
      <c r="F15" s="6" t="s">
        <v>87</v>
      </c>
      <c r="G15" s="6" t="s">
        <v>88</v>
      </c>
      <c r="H15" s="6"/>
      <c r="I15" s="7" t="s">
        <v>30</v>
      </c>
      <c r="J15" s="7"/>
    </row>
    <row r="16" customFormat="false" ht="32.8" hidden="false" customHeight="false" outlineLevel="0" collapsed="false">
      <c r="A16" s="5" t="s">
        <v>89</v>
      </c>
      <c r="B16" s="6" t="s">
        <v>80</v>
      </c>
      <c r="C16" s="6" t="n">
        <v>1</v>
      </c>
      <c r="D16" s="6" t="s">
        <v>25</v>
      </c>
      <c r="E16" s="6" t="s">
        <v>90</v>
      </c>
      <c r="F16" s="6" t="s">
        <v>91</v>
      </c>
      <c r="G16" s="6" t="s">
        <v>92</v>
      </c>
      <c r="H16" s="6"/>
      <c r="I16" s="7" t="s">
        <v>30</v>
      </c>
      <c r="J16" s="7"/>
    </row>
    <row r="17" customFormat="false" ht="32.8" hidden="false" customHeight="false" outlineLevel="0" collapsed="false">
      <c r="A17" s="5" t="s">
        <v>93</v>
      </c>
      <c r="B17" s="6" t="s">
        <v>80</v>
      </c>
      <c r="C17" s="6" t="n">
        <v>1</v>
      </c>
      <c r="D17" s="6" t="s">
        <v>25</v>
      </c>
      <c r="E17" s="6" t="s">
        <v>94</v>
      </c>
      <c r="F17" s="6" t="s">
        <v>79</v>
      </c>
      <c r="G17" s="6" t="s">
        <v>95</v>
      </c>
      <c r="H17" s="6"/>
      <c r="I17" s="7" t="s">
        <v>30</v>
      </c>
      <c r="J17" s="7"/>
    </row>
    <row r="18" customFormat="false" ht="32.8" hidden="false" customHeight="false" outlineLevel="0" collapsed="false">
      <c r="A18" s="5" t="s">
        <v>96</v>
      </c>
      <c r="B18" s="6" t="s">
        <v>80</v>
      </c>
      <c r="C18" s="6" t="n">
        <v>1</v>
      </c>
      <c r="D18" s="6" t="s">
        <v>25</v>
      </c>
      <c r="E18" s="6" t="s">
        <v>97</v>
      </c>
      <c r="F18" s="6" t="s">
        <v>79</v>
      </c>
      <c r="G18" s="6" t="s">
        <v>98</v>
      </c>
      <c r="H18" s="6"/>
      <c r="I18" s="7" t="s">
        <v>30</v>
      </c>
      <c r="J18" s="7"/>
    </row>
    <row r="19" customFormat="false" ht="32.8" hidden="false" customHeight="false" outlineLevel="0" collapsed="false">
      <c r="A19" s="5" t="s">
        <v>99</v>
      </c>
      <c r="B19" s="6" t="s">
        <v>80</v>
      </c>
      <c r="C19" s="6" t="n">
        <v>1</v>
      </c>
      <c r="D19" s="6" t="s">
        <v>25</v>
      </c>
      <c r="E19" s="6" t="s">
        <v>100</v>
      </c>
      <c r="F19" s="6" t="s">
        <v>89</v>
      </c>
      <c r="G19" s="6" t="s">
        <v>101</v>
      </c>
      <c r="H19" s="6"/>
      <c r="I19" s="7" t="s">
        <v>30</v>
      </c>
      <c r="J19" s="7"/>
    </row>
    <row r="20" customFormat="false" ht="32.8" hidden="false" customHeight="false" outlineLevel="0" collapsed="false">
      <c r="A20" s="5" t="s">
        <v>102</v>
      </c>
      <c r="B20" s="6" t="s">
        <v>80</v>
      </c>
      <c r="C20" s="6" t="n">
        <v>1</v>
      </c>
      <c r="D20" s="6" t="s">
        <v>25</v>
      </c>
      <c r="E20" s="6" t="s">
        <v>103</v>
      </c>
      <c r="F20" s="6" t="s">
        <v>99</v>
      </c>
      <c r="G20" s="6" t="s">
        <v>104</v>
      </c>
      <c r="H20" s="6"/>
      <c r="I20" s="7" t="s">
        <v>30</v>
      </c>
      <c r="J20" s="7"/>
    </row>
    <row r="21" customFormat="false" ht="32.8" hidden="false" customHeight="false" outlineLevel="0" collapsed="false">
      <c r="A21" s="5" t="s">
        <v>105</v>
      </c>
      <c r="B21" s="6" t="s">
        <v>80</v>
      </c>
      <c r="C21" s="6" t="n">
        <v>1</v>
      </c>
      <c r="D21" s="6" t="s">
        <v>25</v>
      </c>
      <c r="E21" s="6" t="s">
        <v>106</v>
      </c>
      <c r="F21" s="6" t="s">
        <v>91</v>
      </c>
      <c r="G21" s="6" t="s">
        <v>107</v>
      </c>
      <c r="H21" s="6"/>
      <c r="I21" s="7" t="s">
        <v>30</v>
      </c>
      <c r="J21" s="7"/>
    </row>
    <row r="22" customFormat="false" ht="43.25" hidden="false" customHeight="false" outlineLevel="0" collapsed="false">
      <c r="A22" s="5" t="s">
        <v>108</v>
      </c>
      <c r="B22" s="6" t="s">
        <v>80</v>
      </c>
      <c r="C22" s="6" t="n">
        <v>1</v>
      </c>
      <c r="D22" s="6" t="s">
        <v>25</v>
      </c>
      <c r="E22" s="6" t="s">
        <v>109</v>
      </c>
      <c r="F22" s="6" t="s">
        <v>99</v>
      </c>
      <c r="G22" s="6" t="s">
        <v>110</v>
      </c>
      <c r="H22" s="6"/>
      <c r="I22" s="7" t="s">
        <v>30</v>
      </c>
      <c r="J22" s="7"/>
    </row>
    <row r="23" customFormat="false" ht="32.8" hidden="false" customHeight="false" outlineLevel="0" collapsed="false">
      <c r="A23" s="5" t="s">
        <v>111</v>
      </c>
      <c r="B23" s="6" t="s">
        <v>80</v>
      </c>
      <c r="C23" s="6" t="n">
        <v>1</v>
      </c>
      <c r="D23" s="6" t="s">
        <v>25</v>
      </c>
      <c r="E23" s="6" t="s">
        <v>112</v>
      </c>
      <c r="F23" s="6" t="s">
        <v>99</v>
      </c>
      <c r="G23" s="6" t="s">
        <v>113</v>
      </c>
      <c r="H23" s="6"/>
      <c r="I23" s="7" t="s">
        <v>30</v>
      </c>
      <c r="J23" s="7"/>
    </row>
    <row r="24" customFormat="false" ht="43.25" hidden="false" customHeight="false" outlineLevel="0" collapsed="false">
      <c r="A24" s="5" t="s">
        <v>114</v>
      </c>
      <c r="B24" s="6" t="s">
        <v>80</v>
      </c>
      <c r="C24" s="6" t="n">
        <v>1</v>
      </c>
      <c r="D24" s="6" t="s">
        <v>41</v>
      </c>
      <c r="E24" s="6" t="s">
        <v>115</v>
      </c>
      <c r="F24" s="6" t="s">
        <v>116</v>
      </c>
      <c r="G24" s="6" t="s">
        <v>117</v>
      </c>
      <c r="H24" s="6"/>
      <c r="I24" s="7" t="s">
        <v>30</v>
      </c>
      <c r="J24" s="7"/>
    </row>
    <row r="25" customFormat="false" ht="32.8" hidden="false" customHeight="false" outlineLevel="0" collapsed="false">
      <c r="A25" s="5" t="s">
        <v>118</v>
      </c>
      <c r="B25" s="6" t="s">
        <v>80</v>
      </c>
      <c r="C25" s="6" t="n">
        <v>1</v>
      </c>
      <c r="D25" s="6" t="s">
        <v>25</v>
      </c>
      <c r="E25" s="6" t="s">
        <v>119</v>
      </c>
      <c r="F25" s="6" t="s">
        <v>99</v>
      </c>
      <c r="G25" s="6" t="s">
        <v>120</v>
      </c>
      <c r="H25" s="6"/>
      <c r="I25" s="7" t="s">
        <v>30</v>
      </c>
      <c r="J25" s="7"/>
    </row>
    <row r="26" customFormat="false" ht="32.8" hidden="false" customHeight="false" outlineLevel="0" collapsed="false">
      <c r="A26" s="5" t="s">
        <v>121</v>
      </c>
      <c r="B26" s="6" t="s">
        <v>80</v>
      </c>
      <c r="C26" s="6" t="n">
        <v>1</v>
      </c>
      <c r="D26" s="6" t="s">
        <v>41</v>
      </c>
      <c r="E26" s="6" t="s">
        <v>122</v>
      </c>
      <c r="F26" s="6" t="s">
        <v>55</v>
      </c>
      <c r="G26" s="6" t="s">
        <v>123</v>
      </c>
      <c r="H26" s="6"/>
      <c r="I26" s="7" t="s">
        <v>30</v>
      </c>
      <c r="J26" s="7"/>
    </row>
    <row r="27" customFormat="false" ht="32.8" hidden="false" customHeight="false" outlineLevel="0" collapsed="false">
      <c r="A27" s="5" t="s">
        <v>124</v>
      </c>
      <c r="B27" s="6" t="s">
        <v>80</v>
      </c>
      <c r="C27" s="6" t="n">
        <v>1</v>
      </c>
      <c r="D27" s="6" t="s">
        <v>41</v>
      </c>
      <c r="E27" s="6" t="s">
        <v>125</v>
      </c>
      <c r="F27" s="6" t="s">
        <v>126</v>
      </c>
      <c r="G27" s="6" t="s">
        <v>127</v>
      </c>
      <c r="H27" s="6"/>
      <c r="I27" s="7" t="s">
        <v>30</v>
      </c>
      <c r="J27" s="7"/>
    </row>
    <row r="28" customFormat="false" ht="32.8" hidden="false" customHeight="false" outlineLevel="0" collapsed="false">
      <c r="A28" s="5" t="s">
        <v>128</v>
      </c>
      <c r="B28" s="6" t="s">
        <v>129</v>
      </c>
      <c r="C28" s="6" t="n">
        <v>2</v>
      </c>
      <c r="D28" s="6" t="s">
        <v>41</v>
      </c>
      <c r="E28" s="6" t="s">
        <v>130</v>
      </c>
      <c r="F28" s="6" t="s">
        <v>131</v>
      </c>
      <c r="G28" s="6" t="s">
        <v>132</v>
      </c>
      <c r="H28" s="6"/>
      <c r="I28" s="7" t="s">
        <v>30</v>
      </c>
      <c r="J28" s="7"/>
    </row>
    <row r="29" customFormat="false" ht="32.8" hidden="false" customHeight="false" outlineLevel="0" collapsed="false">
      <c r="A29" s="5" t="s">
        <v>133</v>
      </c>
      <c r="B29" s="6" t="s">
        <v>129</v>
      </c>
      <c r="C29" s="6" t="n">
        <v>2</v>
      </c>
      <c r="D29" s="6" t="s">
        <v>41</v>
      </c>
      <c r="E29" s="6" t="s">
        <v>134</v>
      </c>
      <c r="F29" s="6" t="s">
        <v>128</v>
      </c>
      <c r="G29" s="6" t="s">
        <v>135</v>
      </c>
      <c r="H29" s="6"/>
      <c r="I29" s="7" t="s">
        <v>30</v>
      </c>
      <c r="J29" s="7"/>
    </row>
    <row r="30" customFormat="false" ht="32.8" hidden="false" customHeight="false" outlineLevel="0" collapsed="false">
      <c r="A30" s="5" t="s">
        <v>136</v>
      </c>
      <c r="B30" s="6" t="s">
        <v>129</v>
      </c>
      <c r="C30" s="6" t="n">
        <v>2</v>
      </c>
      <c r="D30" s="6" t="s">
        <v>41</v>
      </c>
      <c r="E30" s="6" t="s">
        <v>137</v>
      </c>
      <c r="F30" s="6" t="s">
        <v>133</v>
      </c>
      <c r="G30" s="6" t="s">
        <v>138</v>
      </c>
      <c r="H30" s="6"/>
      <c r="I30" s="7" t="s">
        <v>30</v>
      </c>
      <c r="J30" s="7"/>
    </row>
    <row r="31" customFormat="false" ht="32.8" hidden="false" customHeight="false" outlineLevel="0" collapsed="false">
      <c r="A31" s="5" t="s">
        <v>139</v>
      </c>
      <c r="B31" s="6" t="s">
        <v>129</v>
      </c>
      <c r="C31" s="6" t="n">
        <v>2</v>
      </c>
      <c r="D31" s="6" t="s">
        <v>41</v>
      </c>
      <c r="E31" s="6" t="s">
        <v>140</v>
      </c>
      <c r="F31" s="6" t="s">
        <v>141</v>
      </c>
      <c r="G31" s="6" t="s">
        <v>142</v>
      </c>
      <c r="H31" s="6"/>
      <c r="I31" s="7" t="s">
        <v>30</v>
      </c>
      <c r="J31" s="7"/>
    </row>
    <row r="32" customFormat="false" ht="32.8" hidden="false" customHeight="false" outlineLevel="0" collapsed="false">
      <c r="A32" s="5" t="s">
        <v>143</v>
      </c>
      <c r="B32" s="6" t="s">
        <v>129</v>
      </c>
      <c r="C32" s="6" t="n">
        <v>2</v>
      </c>
      <c r="D32" s="6" t="s">
        <v>41</v>
      </c>
      <c r="E32" s="6" t="s">
        <v>144</v>
      </c>
      <c r="F32" s="6" t="s">
        <v>145</v>
      </c>
      <c r="G32" s="6" t="s">
        <v>146</v>
      </c>
      <c r="H32" s="6"/>
      <c r="I32" s="7" t="s">
        <v>30</v>
      </c>
      <c r="J32" s="7"/>
    </row>
    <row r="33" customFormat="false" ht="43.25" hidden="false" customHeight="false" outlineLevel="0" collapsed="false">
      <c r="A33" s="5" t="s">
        <v>147</v>
      </c>
      <c r="B33" s="6" t="s">
        <v>129</v>
      </c>
      <c r="C33" s="6" t="n">
        <v>2</v>
      </c>
      <c r="D33" s="6" t="s">
        <v>41</v>
      </c>
      <c r="E33" s="6" t="s">
        <v>148</v>
      </c>
      <c r="F33" s="6" t="s">
        <v>149</v>
      </c>
      <c r="G33" s="6" t="s">
        <v>150</v>
      </c>
      <c r="H33" s="6"/>
      <c r="I33" s="7" t="s">
        <v>30</v>
      </c>
      <c r="J33" s="7"/>
    </row>
    <row r="34" customFormat="false" ht="43.25" hidden="false" customHeight="false" outlineLevel="0" collapsed="false">
      <c r="A34" s="5" t="s">
        <v>151</v>
      </c>
      <c r="B34" s="6" t="s">
        <v>129</v>
      </c>
      <c r="C34" s="6" t="n">
        <v>2</v>
      </c>
      <c r="D34" s="6" t="s">
        <v>41</v>
      </c>
      <c r="E34" s="6" t="s">
        <v>152</v>
      </c>
      <c r="F34" s="6" t="s">
        <v>139</v>
      </c>
      <c r="G34" s="6" t="s">
        <v>153</v>
      </c>
      <c r="H34" s="6"/>
      <c r="I34" s="7" t="s">
        <v>30</v>
      </c>
      <c r="J34" s="7"/>
    </row>
    <row r="35" customFormat="false" ht="32.8" hidden="false" customHeight="false" outlineLevel="0" collapsed="false">
      <c r="A35" s="5" t="s">
        <v>154</v>
      </c>
      <c r="B35" s="6" t="s">
        <v>129</v>
      </c>
      <c r="C35" s="6" t="n">
        <v>2</v>
      </c>
      <c r="D35" s="6" t="s">
        <v>41</v>
      </c>
      <c r="E35" s="6" t="s">
        <v>155</v>
      </c>
      <c r="F35" s="6" t="s">
        <v>139</v>
      </c>
      <c r="G35" s="6" t="s">
        <v>156</v>
      </c>
      <c r="H35" s="6"/>
      <c r="I35" s="7" t="s">
        <v>30</v>
      </c>
      <c r="J35" s="7"/>
    </row>
    <row r="36" customFormat="false" ht="32.8" hidden="false" customHeight="false" outlineLevel="0" collapsed="false">
      <c r="A36" s="5" t="s">
        <v>157</v>
      </c>
      <c r="B36" s="6" t="s">
        <v>129</v>
      </c>
      <c r="C36" s="6" t="n">
        <v>2</v>
      </c>
      <c r="D36" s="6" t="s">
        <v>41</v>
      </c>
      <c r="E36" s="6" t="s">
        <v>158</v>
      </c>
      <c r="F36" s="6" t="s">
        <v>159</v>
      </c>
      <c r="G36" s="6" t="s">
        <v>160</v>
      </c>
      <c r="H36" s="6"/>
      <c r="I36" s="7" t="s">
        <v>30</v>
      </c>
      <c r="J36" s="7"/>
    </row>
    <row r="37" customFormat="false" ht="32.8" hidden="false" customHeight="false" outlineLevel="0" collapsed="false">
      <c r="A37" s="5" t="s">
        <v>161</v>
      </c>
      <c r="B37" s="6" t="s">
        <v>129</v>
      </c>
      <c r="C37" s="6" t="n">
        <v>2</v>
      </c>
      <c r="D37" s="6" t="s">
        <v>41</v>
      </c>
      <c r="E37" s="6" t="s">
        <v>162</v>
      </c>
      <c r="F37" s="6" t="s">
        <v>139</v>
      </c>
      <c r="G37" s="6" t="s">
        <v>163</v>
      </c>
      <c r="H37" s="6"/>
      <c r="I37" s="7" t="s">
        <v>30</v>
      </c>
      <c r="J37" s="7"/>
    </row>
    <row r="38" customFormat="false" ht="32.8" hidden="false" customHeight="false" outlineLevel="0" collapsed="false">
      <c r="A38" s="5" t="s">
        <v>164</v>
      </c>
      <c r="B38" s="6" t="s">
        <v>129</v>
      </c>
      <c r="C38" s="6" t="n">
        <v>2</v>
      </c>
      <c r="D38" s="6" t="s">
        <v>41</v>
      </c>
      <c r="E38" s="6" t="s">
        <v>165</v>
      </c>
      <c r="F38" s="6" t="s">
        <v>166</v>
      </c>
      <c r="G38" s="6" t="s">
        <v>167</v>
      </c>
      <c r="H38" s="6"/>
      <c r="I38" s="7" t="s">
        <v>30</v>
      </c>
      <c r="J38" s="7"/>
    </row>
    <row r="39" customFormat="false" ht="32.8" hidden="false" customHeight="false" outlineLevel="0" collapsed="false">
      <c r="A39" s="5" t="s">
        <v>168</v>
      </c>
      <c r="B39" s="6" t="s">
        <v>129</v>
      </c>
      <c r="C39" s="6" t="n">
        <v>2</v>
      </c>
      <c r="D39" s="6" t="s">
        <v>74</v>
      </c>
      <c r="E39" s="6" t="s">
        <v>169</v>
      </c>
      <c r="F39" s="6" t="s">
        <v>170</v>
      </c>
      <c r="G39" s="6" t="s">
        <v>171</v>
      </c>
      <c r="H39" s="6"/>
      <c r="I39" s="7" t="s">
        <v>30</v>
      </c>
      <c r="J39" s="7"/>
    </row>
    <row r="40" customFormat="false" ht="32.8" hidden="false" customHeight="false" outlineLevel="0" collapsed="false">
      <c r="A40" s="5" t="s">
        <v>172</v>
      </c>
      <c r="B40" s="6" t="s">
        <v>173</v>
      </c>
      <c r="C40" s="6" t="n">
        <v>1</v>
      </c>
      <c r="D40" s="6" t="s">
        <v>25</v>
      </c>
      <c r="E40" s="6" t="s">
        <v>174</v>
      </c>
      <c r="F40" s="6" t="s">
        <v>116</v>
      </c>
      <c r="G40" s="6" t="s">
        <v>175</v>
      </c>
      <c r="H40" s="6"/>
      <c r="I40" s="7" t="s">
        <v>30</v>
      </c>
      <c r="J40" s="7"/>
    </row>
    <row r="41" customFormat="false" ht="32.8" hidden="false" customHeight="false" outlineLevel="0" collapsed="false">
      <c r="A41" s="5" t="s">
        <v>176</v>
      </c>
      <c r="B41" s="6" t="s">
        <v>173</v>
      </c>
      <c r="C41" s="6" t="n">
        <v>1</v>
      </c>
      <c r="D41" s="6" t="s">
        <v>25</v>
      </c>
      <c r="E41" s="6" t="s">
        <v>177</v>
      </c>
      <c r="F41" s="6" t="s">
        <v>178</v>
      </c>
      <c r="G41" s="6" t="s">
        <v>179</v>
      </c>
      <c r="H41" s="6"/>
      <c r="I41" s="7" t="s">
        <v>30</v>
      </c>
      <c r="J41" s="7"/>
    </row>
    <row r="42" customFormat="false" ht="32.8" hidden="false" customHeight="false" outlineLevel="0" collapsed="false">
      <c r="A42" s="5" t="s">
        <v>180</v>
      </c>
      <c r="B42" s="6" t="s">
        <v>173</v>
      </c>
      <c r="C42" s="6" t="n">
        <v>1</v>
      </c>
      <c r="D42" s="6" t="s">
        <v>25</v>
      </c>
      <c r="E42" s="6" t="s">
        <v>181</v>
      </c>
      <c r="F42" s="6" t="s">
        <v>178</v>
      </c>
      <c r="G42" s="6" t="s">
        <v>182</v>
      </c>
      <c r="H42" s="6"/>
      <c r="I42" s="7" t="s">
        <v>30</v>
      </c>
      <c r="J42" s="7"/>
    </row>
    <row r="43" customFormat="false" ht="32.8" hidden="false" customHeight="false" outlineLevel="0" collapsed="false">
      <c r="A43" s="5" t="s">
        <v>183</v>
      </c>
      <c r="B43" s="6" t="s">
        <v>173</v>
      </c>
      <c r="C43" s="6" t="n">
        <v>1</v>
      </c>
      <c r="D43" s="6" t="s">
        <v>25</v>
      </c>
      <c r="E43" s="6" t="s">
        <v>184</v>
      </c>
      <c r="F43" s="6" t="s">
        <v>99</v>
      </c>
      <c r="G43" s="6" t="s">
        <v>185</v>
      </c>
      <c r="H43" s="6"/>
      <c r="I43" s="7" t="s">
        <v>30</v>
      </c>
      <c r="J43" s="7"/>
    </row>
    <row r="44" customFormat="false" ht="32.8" hidden="false" customHeight="false" outlineLevel="0" collapsed="false">
      <c r="A44" s="5" t="s">
        <v>186</v>
      </c>
      <c r="B44" s="6" t="s">
        <v>173</v>
      </c>
      <c r="C44" s="6" t="n">
        <v>2</v>
      </c>
      <c r="D44" s="6" t="s">
        <v>41</v>
      </c>
      <c r="E44" s="6" t="s">
        <v>187</v>
      </c>
      <c r="F44" s="6" t="s">
        <v>188</v>
      </c>
      <c r="G44" s="6" t="s">
        <v>189</v>
      </c>
      <c r="H44" s="6"/>
      <c r="I44" s="7" t="s">
        <v>30</v>
      </c>
      <c r="J44" s="7"/>
    </row>
    <row r="45" customFormat="false" ht="32.8" hidden="false" customHeight="false" outlineLevel="0" collapsed="false">
      <c r="A45" s="5" t="s">
        <v>190</v>
      </c>
      <c r="B45" s="6" t="s">
        <v>173</v>
      </c>
      <c r="C45" s="6" t="n">
        <v>1</v>
      </c>
      <c r="D45" s="6" t="s">
        <v>25</v>
      </c>
      <c r="E45" s="6" t="s">
        <v>191</v>
      </c>
      <c r="F45" s="6" t="s">
        <v>192</v>
      </c>
      <c r="G45" s="6" t="s">
        <v>193</v>
      </c>
      <c r="H45" s="6"/>
      <c r="I45" s="7" t="s">
        <v>30</v>
      </c>
      <c r="J45" s="7"/>
    </row>
    <row r="46" customFormat="false" ht="32.8" hidden="false" customHeight="false" outlineLevel="0" collapsed="false">
      <c r="A46" s="5" t="s">
        <v>194</v>
      </c>
      <c r="B46" s="6" t="s">
        <v>173</v>
      </c>
      <c r="C46" s="6" t="n">
        <v>3</v>
      </c>
      <c r="D46" s="6" t="s">
        <v>74</v>
      </c>
      <c r="E46" s="6" t="s">
        <v>195</v>
      </c>
      <c r="F46" s="6" t="s">
        <v>196</v>
      </c>
      <c r="G46" s="6" t="s">
        <v>197</v>
      </c>
      <c r="H46" s="6"/>
      <c r="I46" s="7" t="s">
        <v>30</v>
      </c>
      <c r="J46" s="7"/>
    </row>
    <row r="47" customFormat="false" ht="32.8" hidden="false" customHeight="false" outlineLevel="0" collapsed="false">
      <c r="A47" s="5" t="s">
        <v>198</v>
      </c>
      <c r="B47" s="6" t="s">
        <v>173</v>
      </c>
      <c r="C47" s="6" t="n">
        <v>1</v>
      </c>
      <c r="D47" s="6" t="s">
        <v>25</v>
      </c>
      <c r="E47" s="6" t="s">
        <v>199</v>
      </c>
      <c r="F47" s="6" t="s">
        <v>176</v>
      </c>
      <c r="G47" s="6" t="s">
        <v>200</v>
      </c>
      <c r="H47" s="6"/>
      <c r="I47" s="7" t="s">
        <v>30</v>
      </c>
      <c r="J47" s="7"/>
    </row>
    <row r="48" customFormat="false" ht="32.8" hidden="false" customHeight="false" outlineLevel="0" collapsed="false">
      <c r="A48" s="5" t="s">
        <v>178</v>
      </c>
      <c r="B48" s="6" t="s">
        <v>201</v>
      </c>
      <c r="C48" s="6" t="n">
        <v>1</v>
      </c>
      <c r="D48" s="6" t="s">
        <v>25</v>
      </c>
      <c r="E48" s="6" t="s">
        <v>202</v>
      </c>
      <c r="F48" s="6" t="s">
        <v>99</v>
      </c>
      <c r="G48" s="6" t="s">
        <v>203</v>
      </c>
      <c r="H48" s="6"/>
      <c r="I48" s="7" t="s">
        <v>30</v>
      </c>
      <c r="J48" s="7"/>
    </row>
    <row r="49" customFormat="false" ht="43.25" hidden="false" customHeight="false" outlineLevel="0" collapsed="false">
      <c r="A49" s="5" t="s">
        <v>188</v>
      </c>
      <c r="B49" s="6" t="s">
        <v>201</v>
      </c>
      <c r="C49" s="6" t="n">
        <v>2</v>
      </c>
      <c r="D49" s="6" t="s">
        <v>41</v>
      </c>
      <c r="E49" s="6" t="s">
        <v>204</v>
      </c>
      <c r="F49" s="6" t="s">
        <v>178</v>
      </c>
      <c r="G49" s="6" t="s">
        <v>205</v>
      </c>
      <c r="H49" s="6"/>
      <c r="I49" s="7" t="s">
        <v>30</v>
      </c>
      <c r="J49" s="7"/>
    </row>
    <row r="50" customFormat="false" ht="43.25" hidden="false" customHeight="false" outlineLevel="0" collapsed="false">
      <c r="A50" s="5" t="s">
        <v>206</v>
      </c>
      <c r="B50" s="6" t="s">
        <v>201</v>
      </c>
      <c r="C50" s="6" t="n">
        <v>2</v>
      </c>
      <c r="D50" s="6" t="s">
        <v>41</v>
      </c>
      <c r="E50" s="6" t="s">
        <v>207</v>
      </c>
      <c r="F50" s="6" t="s">
        <v>178</v>
      </c>
      <c r="G50" s="6" t="s">
        <v>208</v>
      </c>
      <c r="H50" s="6"/>
      <c r="I50" s="7" t="s">
        <v>30</v>
      </c>
      <c r="J50" s="7"/>
    </row>
    <row r="51" customFormat="false" ht="43.25" hidden="false" customHeight="false" outlineLevel="0" collapsed="false">
      <c r="A51" s="5" t="s">
        <v>209</v>
      </c>
      <c r="B51" s="6" t="s">
        <v>201</v>
      </c>
      <c r="C51" s="6" t="n">
        <v>2</v>
      </c>
      <c r="D51" s="6" t="s">
        <v>41</v>
      </c>
      <c r="E51" s="6" t="s">
        <v>210</v>
      </c>
      <c r="F51" s="6" t="s">
        <v>211</v>
      </c>
      <c r="G51" s="6" t="s">
        <v>212</v>
      </c>
      <c r="H51" s="6"/>
      <c r="I51" s="7" t="s">
        <v>30</v>
      </c>
      <c r="J51" s="7"/>
    </row>
    <row r="52" customFormat="false" ht="32.8" hidden="false" customHeight="false" outlineLevel="0" collapsed="false">
      <c r="A52" s="5" t="s">
        <v>213</v>
      </c>
      <c r="B52" s="6" t="s">
        <v>201</v>
      </c>
      <c r="C52" s="6" t="n">
        <v>2</v>
      </c>
      <c r="D52" s="6" t="s">
        <v>41</v>
      </c>
      <c r="E52" s="6" t="s">
        <v>214</v>
      </c>
      <c r="F52" s="6" t="s">
        <v>215</v>
      </c>
      <c r="G52" s="6" t="s">
        <v>216</v>
      </c>
      <c r="H52" s="6"/>
      <c r="I52" s="7" t="s">
        <v>30</v>
      </c>
      <c r="J52" s="7"/>
    </row>
    <row r="53" customFormat="false" ht="32.8" hidden="false" customHeight="false" outlineLevel="0" collapsed="false">
      <c r="A53" s="5" t="s">
        <v>217</v>
      </c>
      <c r="B53" s="6" t="s">
        <v>201</v>
      </c>
      <c r="C53" s="6" t="n">
        <v>2</v>
      </c>
      <c r="D53" s="6" t="s">
        <v>41</v>
      </c>
      <c r="E53" s="6" t="s">
        <v>218</v>
      </c>
      <c r="F53" s="6" t="s">
        <v>178</v>
      </c>
      <c r="G53" s="6" t="s">
        <v>219</v>
      </c>
      <c r="H53" s="6"/>
      <c r="I53" s="7" t="s">
        <v>30</v>
      </c>
      <c r="J53" s="7"/>
    </row>
    <row r="54" customFormat="false" ht="43.25" hidden="false" customHeight="false" outlineLevel="0" collapsed="false">
      <c r="A54" s="5" t="s">
        <v>220</v>
      </c>
      <c r="B54" s="6" t="s">
        <v>201</v>
      </c>
      <c r="C54" s="6" t="n">
        <v>2</v>
      </c>
      <c r="D54" s="6" t="s">
        <v>41</v>
      </c>
      <c r="E54" s="6" t="s">
        <v>221</v>
      </c>
      <c r="F54" s="6" t="s">
        <v>222</v>
      </c>
      <c r="G54" s="6" t="s">
        <v>223</v>
      </c>
      <c r="H54" s="6"/>
      <c r="I54" s="7" t="s">
        <v>30</v>
      </c>
      <c r="J54" s="7"/>
    </row>
    <row r="55" customFormat="false" ht="22.35" hidden="false" customHeight="false" outlineLevel="0" collapsed="false">
      <c r="A55" s="5" t="s">
        <v>224</v>
      </c>
      <c r="B55" s="6" t="s">
        <v>201</v>
      </c>
      <c r="C55" s="6" t="n">
        <v>1</v>
      </c>
      <c r="D55" s="6" t="s">
        <v>25</v>
      </c>
      <c r="E55" s="6" t="s">
        <v>225</v>
      </c>
      <c r="F55" s="6" t="s">
        <v>226</v>
      </c>
      <c r="G55" s="6" t="s">
        <v>227</v>
      </c>
      <c r="H55" s="6"/>
      <c r="I55" s="7" t="s">
        <v>30</v>
      </c>
      <c r="J55" s="7"/>
    </row>
    <row r="56" customFormat="false" ht="32.8" hidden="false" customHeight="false" outlineLevel="0" collapsed="false">
      <c r="A56" s="5" t="s">
        <v>228</v>
      </c>
      <c r="B56" s="6" t="s">
        <v>229</v>
      </c>
      <c r="C56" s="6" t="n">
        <v>2</v>
      </c>
      <c r="D56" s="6" t="s">
        <v>41</v>
      </c>
      <c r="E56" s="6" t="s">
        <v>230</v>
      </c>
      <c r="F56" s="6" t="s">
        <v>231</v>
      </c>
      <c r="G56" s="6" t="s">
        <v>232</v>
      </c>
      <c r="H56" s="6"/>
      <c r="I56" s="7" t="s">
        <v>30</v>
      </c>
      <c r="J56" s="7"/>
    </row>
    <row r="57" customFormat="false" ht="32.8" hidden="false" customHeight="false" outlineLevel="0" collapsed="false">
      <c r="A57" s="5" t="s">
        <v>233</v>
      </c>
      <c r="B57" s="6" t="s">
        <v>229</v>
      </c>
      <c r="C57" s="6" t="n">
        <v>2</v>
      </c>
      <c r="D57" s="6" t="s">
        <v>41</v>
      </c>
      <c r="E57" s="6" t="s">
        <v>234</v>
      </c>
      <c r="F57" s="6" t="s">
        <v>228</v>
      </c>
      <c r="G57" s="6" t="s">
        <v>235</v>
      </c>
      <c r="H57" s="6"/>
      <c r="I57" s="7" t="s">
        <v>30</v>
      </c>
      <c r="J57" s="7"/>
    </row>
    <row r="58" customFormat="false" ht="32.8" hidden="false" customHeight="false" outlineLevel="0" collapsed="false">
      <c r="A58" s="5" t="s">
        <v>236</v>
      </c>
      <c r="B58" s="6" t="s">
        <v>229</v>
      </c>
      <c r="C58" s="6" t="n">
        <v>2</v>
      </c>
      <c r="D58" s="6" t="s">
        <v>41</v>
      </c>
      <c r="E58" s="6" t="s">
        <v>237</v>
      </c>
      <c r="F58" s="6" t="s">
        <v>238</v>
      </c>
      <c r="G58" s="6" t="s">
        <v>239</v>
      </c>
      <c r="H58" s="6"/>
      <c r="I58" s="7" t="s">
        <v>30</v>
      </c>
      <c r="J58" s="7"/>
    </row>
    <row r="59" customFormat="false" ht="32.8" hidden="false" customHeight="false" outlineLevel="0" collapsed="false">
      <c r="A59" s="5" t="s">
        <v>240</v>
      </c>
      <c r="B59" s="6" t="s">
        <v>229</v>
      </c>
      <c r="C59" s="6" t="n">
        <v>2</v>
      </c>
      <c r="D59" s="6" t="s">
        <v>74</v>
      </c>
      <c r="E59" s="6" t="s">
        <v>241</v>
      </c>
      <c r="F59" s="6" t="s">
        <v>233</v>
      </c>
      <c r="G59" s="6" t="s">
        <v>242</v>
      </c>
      <c r="H59" s="6"/>
      <c r="I59" s="7" t="s">
        <v>30</v>
      </c>
      <c r="J59" s="7"/>
    </row>
    <row r="60" customFormat="false" ht="22.35" hidden="false" customHeight="false" outlineLevel="0" collapsed="false">
      <c r="A60" s="5" t="s">
        <v>243</v>
      </c>
      <c r="B60" s="6" t="s">
        <v>229</v>
      </c>
      <c r="C60" s="6" t="n">
        <v>2</v>
      </c>
      <c r="D60" s="6" t="s">
        <v>41</v>
      </c>
      <c r="E60" s="6" t="s">
        <v>244</v>
      </c>
      <c r="F60" s="6" t="s">
        <v>231</v>
      </c>
      <c r="G60" s="6" t="s">
        <v>245</v>
      </c>
      <c r="H60" s="6"/>
      <c r="I60" s="7" t="s">
        <v>30</v>
      </c>
      <c r="J60" s="7"/>
    </row>
    <row r="61" customFormat="false" ht="32.8" hidden="false" customHeight="false" outlineLevel="0" collapsed="false">
      <c r="A61" s="5" t="s">
        <v>246</v>
      </c>
      <c r="B61" s="6" t="s">
        <v>247</v>
      </c>
      <c r="C61" s="6" t="n">
        <v>2</v>
      </c>
      <c r="D61" s="6" t="s">
        <v>41</v>
      </c>
      <c r="E61" s="6" t="s">
        <v>248</v>
      </c>
      <c r="F61" s="6" t="s">
        <v>249</v>
      </c>
      <c r="G61" s="6" t="s">
        <v>250</v>
      </c>
      <c r="H61" s="6"/>
      <c r="I61" s="7" t="s">
        <v>30</v>
      </c>
      <c r="J61" s="7"/>
    </row>
    <row r="62" customFormat="false" ht="32.8" hidden="false" customHeight="false" outlineLevel="0" collapsed="false">
      <c r="A62" s="5" t="s">
        <v>251</v>
      </c>
      <c r="B62" s="6" t="s">
        <v>247</v>
      </c>
      <c r="C62" s="6" t="n">
        <v>2</v>
      </c>
      <c r="D62" s="6" t="s">
        <v>41</v>
      </c>
      <c r="E62" s="6" t="s">
        <v>252</v>
      </c>
      <c r="F62" s="6" t="s">
        <v>253</v>
      </c>
      <c r="G62" s="6" t="s">
        <v>254</v>
      </c>
      <c r="H62" s="6"/>
      <c r="I62" s="7" t="s">
        <v>30</v>
      </c>
      <c r="J62" s="7"/>
    </row>
    <row r="63" customFormat="false" ht="32.8" hidden="false" customHeight="false" outlineLevel="0" collapsed="false">
      <c r="A63" s="5" t="s">
        <v>255</v>
      </c>
      <c r="B63" s="6" t="s">
        <v>247</v>
      </c>
      <c r="C63" s="6" t="n">
        <v>2</v>
      </c>
      <c r="D63" s="6" t="s">
        <v>41</v>
      </c>
      <c r="E63" s="6" t="s">
        <v>256</v>
      </c>
      <c r="F63" s="6" t="s">
        <v>253</v>
      </c>
      <c r="G63" s="6" t="s">
        <v>257</v>
      </c>
      <c r="H63" s="6"/>
      <c r="I63" s="7" t="s">
        <v>30</v>
      </c>
      <c r="J63" s="7"/>
    </row>
    <row r="64" customFormat="false" ht="32.8" hidden="false" customHeight="false" outlineLevel="0" collapsed="false">
      <c r="A64" s="5" t="s">
        <v>253</v>
      </c>
      <c r="B64" s="6" t="s">
        <v>247</v>
      </c>
      <c r="C64" s="6" t="n">
        <v>2</v>
      </c>
      <c r="D64" s="6" t="s">
        <v>41</v>
      </c>
      <c r="E64" s="6" t="s">
        <v>258</v>
      </c>
      <c r="F64" s="6" t="s">
        <v>259</v>
      </c>
      <c r="G64" s="6" t="s">
        <v>260</v>
      </c>
      <c r="H64" s="6"/>
      <c r="I64" s="7" t="s">
        <v>30</v>
      </c>
      <c r="J64" s="7"/>
    </row>
    <row r="65" customFormat="false" ht="32.8" hidden="false" customHeight="false" outlineLevel="0" collapsed="false">
      <c r="A65" s="5" t="s">
        <v>261</v>
      </c>
      <c r="B65" s="6" t="s">
        <v>247</v>
      </c>
      <c r="C65" s="6" t="n">
        <v>2</v>
      </c>
      <c r="D65" s="6" t="s">
        <v>41</v>
      </c>
      <c r="E65" s="6" t="s">
        <v>262</v>
      </c>
      <c r="F65" s="6" t="s">
        <v>246</v>
      </c>
      <c r="G65" s="6" t="s">
        <v>263</v>
      </c>
      <c r="H65" s="6"/>
      <c r="I65" s="7" t="s">
        <v>30</v>
      </c>
      <c r="J65" s="7"/>
    </row>
    <row r="66" customFormat="false" ht="43.25" hidden="false" customHeight="false" outlineLevel="0" collapsed="false">
      <c r="A66" s="5" t="s">
        <v>264</v>
      </c>
      <c r="B66" s="6" t="s">
        <v>247</v>
      </c>
      <c r="C66" s="6" t="n">
        <v>5</v>
      </c>
      <c r="D66" s="6" t="s">
        <v>74</v>
      </c>
      <c r="E66" s="6" t="s">
        <v>265</v>
      </c>
      <c r="F66" s="6" t="s">
        <v>266</v>
      </c>
      <c r="G66" s="6" t="s">
        <v>267</v>
      </c>
      <c r="H66" s="6"/>
      <c r="I66" s="7" t="s">
        <v>30</v>
      </c>
      <c r="J66" s="7"/>
    </row>
    <row r="67" customFormat="false" ht="32.8" hidden="false" customHeight="false" outlineLevel="0" collapsed="false">
      <c r="A67" s="5" t="s">
        <v>268</v>
      </c>
      <c r="B67" s="6" t="s">
        <v>247</v>
      </c>
      <c r="C67" s="6" t="n">
        <v>2</v>
      </c>
      <c r="D67" s="6" t="s">
        <v>41</v>
      </c>
      <c r="E67" s="6" t="s">
        <v>269</v>
      </c>
      <c r="F67" s="6" t="s">
        <v>270</v>
      </c>
      <c r="G67" s="6" t="s">
        <v>271</v>
      </c>
      <c r="H67" s="6"/>
      <c r="I67" s="7" t="s">
        <v>30</v>
      </c>
      <c r="J67" s="7"/>
    </row>
    <row r="68" customFormat="false" ht="32.8" hidden="false" customHeight="false" outlineLevel="0" collapsed="false">
      <c r="A68" s="5" t="s">
        <v>272</v>
      </c>
      <c r="B68" s="6" t="s">
        <v>273</v>
      </c>
      <c r="C68" s="6" t="n">
        <v>3</v>
      </c>
      <c r="D68" s="6" t="s">
        <v>41</v>
      </c>
      <c r="E68" s="6" t="s">
        <v>274</v>
      </c>
      <c r="F68" s="6" t="s">
        <v>275</v>
      </c>
      <c r="G68" s="6" t="s">
        <v>276</v>
      </c>
      <c r="H68" s="6"/>
      <c r="I68" s="7" t="s">
        <v>30</v>
      </c>
      <c r="J68" s="7"/>
    </row>
    <row r="69" customFormat="false" ht="32.8" hidden="false" customHeight="false" outlineLevel="0" collapsed="false">
      <c r="A69" s="5" t="s">
        <v>277</v>
      </c>
      <c r="B69" s="6" t="s">
        <v>273</v>
      </c>
      <c r="C69" s="6" t="n">
        <v>3</v>
      </c>
      <c r="D69" s="6" t="s">
        <v>25</v>
      </c>
      <c r="E69" s="6" t="s">
        <v>278</v>
      </c>
      <c r="F69" s="6" t="s">
        <v>31</v>
      </c>
      <c r="G69" s="6" t="s">
        <v>279</v>
      </c>
      <c r="H69" s="6"/>
      <c r="I69" s="7" t="s">
        <v>30</v>
      </c>
      <c r="J69" s="7"/>
    </row>
    <row r="70" customFormat="false" ht="32.8" hidden="false" customHeight="false" outlineLevel="0" collapsed="false">
      <c r="A70" s="5" t="s">
        <v>280</v>
      </c>
      <c r="B70" s="6" t="s">
        <v>273</v>
      </c>
      <c r="C70" s="6" t="n">
        <v>3</v>
      </c>
      <c r="D70" s="6" t="s">
        <v>25</v>
      </c>
      <c r="E70" s="6" t="s">
        <v>281</v>
      </c>
      <c r="F70" s="6" t="s">
        <v>272</v>
      </c>
      <c r="G70" s="6" t="s">
        <v>282</v>
      </c>
      <c r="H70" s="6"/>
      <c r="I70" s="7" t="s">
        <v>30</v>
      </c>
      <c r="J70" s="7"/>
    </row>
    <row r="71" customFormat="false" ht="43.25" hidden="false" customHeight="false" outlineLevel="0" collapsed="false">
      <c r="A71" s="5" t="s">
        <v>283</v>
      </c>
      <c r="B71" s="6" t="s">
        <v>273</v>
      </c>
      <c r="C71" s="6" t="n">
        <v>3</v>
      </c>
      <c r="D71" s="6" t="s">
        <v>25</v>
      </c>
      <c r="E71" s="6" t="s">
        <v>284</v>
      </c>
      <c r="F71" s="6" t="s">
        <v>272</v>
      </c>
      <c r="G71" s="6" t="s">
        <v>285</v>
      </c>
      <c r="H71" s="6"/>
      <c r="I71" s="7" t="s">
        <v>30</v>
      </c>
      <c r="J71" s="7"/>
    </row>
    <row r="72" customFormat="false" ht="22.35" hidden="false" customHeight="false" outlineLevel="0" collapsed="false">
      <c r="A72" s="5" t="s">
        <v>286</v>
      </c>
      <c r="B72" s="6" t="s">
        <v>273</v>
      </c>
      <c r="C72" s="6" t="n">
        <v>3</v>
      </c>
      <c r="D72" s="6" t="s">
        <v>41</v>
      </c>
      <c r="E72" s="6" t="s">
        <v>287</v>
      </c>
      <c r="F72" s="6" t="s">
        <v>272</v>
      </c>
      <c r="G72" s="6" t="s">
        <v>288</v>
      </c>
      <c r="H72" s="6"/>
      <c r="I72" s="7" t="s">
        <v>30</v>
      </c>
      <c r="J72" s="7"/>
    </row>
    <row r="73" customFormat="false" ht="32.8" hidden="false" customHeight="false" outlineLevel="0" collapsed="false">
      <c r="A73" s="5" t="s">
        <v>289</v>
      </c>
      <c r="B73" s="6" t="s">
        <v>273</v>
      </c>
      <c r="C73" s="6" t="n">
        <v>3</v>
      </c>
      <c r="D73" s="6" t="s">
        <v>41</v>
      </c>
      <c r="E73" s="6" t="s">
        <v>290</v>
      </c>
      <c r="F73" s="6" t="s">
        <v>170</v>
      </c>
      <c r="G73" s="6" t="s">
        <v>291</v>
      </c>
      <c r="H73" s="6"/>
      <c r="I73" s="7" t="s">
        <v>30</v>
      </c>
      <c r="J73" s="7"/>
    </row>
    <row r="74" customFormat="false" ht="32.8" hidden="false" customHeight="false" outlineLevel="0" collapsed="false">
      <c r="A74" s="5" t="s">
        <v>292</v>
      </c>
      <c r="B74" s="6" t="s">
        <v>273</v>
      </c>
      <c r="C74" s="6" t="n">
        <v>3</v>
      </c>
      <c r="D74" s="6" t="s">
        <v>41</v>
      </c>
      <c r="E74" s="6" t="s">
        <v>293</v>
      </c>
      <c r="F74" s="6" t="s">
        <v>272</v>
      </c>
      <c r="G74" s="6" t="s">
        <v>294</v>
      </c>
      <c r="H74" s="6"/>
      <c r="I74" s="7" t="s">
        <v>30</v>
      </c>
      <c r="J74" s="7"/>
    </row>
    <row r="75" customFormat="false" ht="32.8" hidden="false" customHeight="false" outlineLevel="0" collapsed="false">
      <c r="A75" s="5" t="s">
        <v>295</v>
      </c>
      <c r="B75" s="6" t="s">
        <v>273</v>
      </c>
      <c r="C75" s="6" t="n">
        <v>3</v>
      </c>
      <c r="D75" s="6" t="s">
        <v>41</v>
      </c>
      <c r="E75" s="6" t="s">
        <v>296</v>
      </c>
      <c r="F75" s="6" t="s">
        <v>272</v>
      </c>
      <c r="G75" s="6" t="s">
        <v>297</v>
      </c>
      <c r="H75" s="6"/>
      <c r="I75" s="7" t="s">
        <v>30</v>
      </c>
      <c r="J75" s="7"/>
    </row>
    <row r="76" customFormat="false" ht="43.25" hidden="false" customHeight="false" outlineLevel="0" collapsed="false">
      <c r="A76" s="5" t="s">
        <v>298</v>
      </c>
      <c r="B76" s="6" t="s">
        <v>273</v>
      </c>
      <c r="C76" s="6" t="n">
        <v>3</v>
      </c>
      <c r="D76" s="6" t="s">
        <v>41</v>
      </c>
      <c r="E76" s="6" t="s">
        <v>299</v>
      </c>
      <c r="F76" s="6" t="s">
        <v>300</v>
      </c>
      <c r="G76" s="6" t="s">
        <v>301</v>
      </c>
      <c r="H76" s="6"/>
      <c r="I76" s="7" t="s">
        <v>30</v>
      </c>
      <c r="J76" s="7"/>
    </row>
    <row r="77" customFormat="false" ht="32.8" hidden="false" customHeight="false" outlineLevel="0" collapsed="false">
      <c r="A77" s="5" t="s">
        <v>302</v>
      </c>
      <c r="B77" s="6" t="s">
        <v>273</v>
      </c>
      <c r="C77" s="6" t="n">
        <v>2</v>
      </c>
      <c r="D77" s="6" t="s">
        <v>41</v>
      </c>
      <c r="E77" s="6" t="s">
        <v>303</v>
      </c>
      <c r="F77" s="6" t="s">
        <v>226</v>
      </c>
      <c r="G77" s="6" t="s">
        <v>304</v>
      </c>
      <c r="H77" s="6"/>
      <c r="I77" s="7" t="s">
        <v>30</v>
      </c>
      <c r="J77" s="7"/>
    </row>
    <row r="78" customFormat="false" ht="32.8" hidden="false" customHeight="false" outlineLevel="0" collapsed="false">
      <c r="A78" s="5" t="s">
        <v>305</v>
      </c>
      <c r="B78" s="6" t="s">
        <v>306</v>
      </c>
      <c r="C78" s="6" t="n">
        <v>3</v>
      </c>
      <c r="D78" s="6" t="s">
        <v>41</v>
      </c>
      <c r="E78" s="6" t="s">
        <v>307</v>
      </c>
      <c r="F78" s="6" t="s">
        <v>99</v>
      </c>
      <c r="G78" s="6" t="s">
        <v>308</v>
      </c>
      <c r="H78" s="6"/>
      <c r="I78" s="7" t="s">
        <v>30</v>
      </c>
      <c r="J78" s="7"/>
    </row>
    <row r="79" customFormat="false" ht="22.35" hidden="false" customHeight="false" outlineLevel="0" collapsed="false">
      <c r="A79" s="5" t="s">
        <v>309</v>
      </c>
      <c r="B79" s="6" t="s">
        <v>306</v>
      </c>
      <c r="C79" s="6" t="n">
        <v>3</v>
      </c>
      <c r="D79" s="6" t="s">
        <v>41</v>
      </c>
      <c r="E79" s="6" t="s">
        <v>310</v>
      </c>
      <c r="F79" s="6" t="s">
        <v>305</v>
      </c>
      <c r="G79" s="6" t="s">
        <v>311</v>
      </c>
      <c r="H79" s="6"/>
      <c r="I79" s="7" t="s">
        <v>30</v>
      </c>
      <c r="J79" s="7"/>
    </row>
    <row r="80" customFormat="false" ht="22.35" hidden="false" customHeight="false" outlineLevel="0" collapsed="false">
      <c r="A80" s="5" t="s">
        <v>312</v>
      </c>
      <c r="B80" s="6" t="s">
        <v>306</v>
      </c>
      <c r="C80" s="6" t="n">
        <v>3</v>
      </c>
      <c r="D80" s="6" t="s">
        <v>41</v>
      </c>
      <c r="E80" s="6" t="s">
        <v>313</v>
      </c>
      <c r="F80" s="6" t="s">
        <v>314</v>
      </c>
      <c r="G80" s="6" t="s">
        <v>315</v>
      </c>
      <c r="H80" s="6"/>
      <c r="I80" s="7" t="s">
        <v>30</v>
      </c>
      <c r="J80" s="7"/>
    </row>
    <row r="81" customFormat="false" ht="32.8" hidden="false" customHeight="false" outlineLevel="0" collapsed="false">
      <c r="A81" s="5" t="s">
        <v>316</v>
      </c>
      <c r="B81" s="6" t="s">
        <v>306</v>
      </c>
      <c r="C81" s="6" t="n">
        <v>3</v>
      </c>
      <c r="D81" s="6" t="s">
        <v>41</v>
      </c>
      <c r="E81" s="6" t="s">
        <v>317</v>
      </c>
      <c r="F81" s="6" t="s">
        <v>312</v>
      </c>
      <c r="G81" s="6" t="s">
        <v>318</v>
      </c>
      <c r="H81" s="6"/>
      <c r="I81" s="7" t="s">
        <v>30</v>
      </c>
      <c r="J81" s="7"/>
    </row>
    <row r="82" customFormat="false" ht="22.35" hidden="false" customHeight="false" outlineLevel="0" collapsed="false">
      <c r="A82" s="5" t="s">
        <v>319</v>
      </c>
      <c r="B82" s="6" t="s">
        <v>306</v>
      </c>
      <c r="C82" s="6" t="n">
        <v>3</v>
      </c>
      <c r="D82" s="6" t="s">
        <v>74</v>
      </c>
      <c r="E82" s="6" t="s">
        <v>320</v>
      </c>
      <c r="F82" s="6" t="s">
        <v>321</v>
      </c>
      <c r="G82" s="6" t="s">
        <v>322</v>
      </c>
      <c r="H82" s="6"/>
      <c r="I82" s="7" t="s">
        <v>30</v>
      </c>
      <c r="J82" s="7"/>
    </row>
    <row r="83" customFormat="false" ht="22.35" hidden="false" customHeight="false" outlineLevel="0" collapsed="false">
      <c r="A83" s="5" t="s">
        <v>323</v>
      </c>
      <c r="B83" s="6" t="s">
        <v>306</v>
      </c>
      <c r="C83" s="6" t="n">
        <v>3</v>
      </c>
      <c r="D83" s="6" t="s">
        <v>41</v>
      </c>
      <c r="E83" s="6" t="s">
        <v>324</v>
      </c>
      <c r="F83" s="6" t="s">
        <v>305</v>
      </c>
      <c r="G83" s="6" t="s">
        <v>325</v>
      </c>
      <c r="H83" s="6"/>
      <c r="I83" s="7" t="s">
        <v>30</v>
      </c>
      <c r="J83" s="7"/>
    </row>
    <row r="84" customFormat="false" ht="22.35" hidden="false" customHeight="false" outlineLevel="0" collapsed="false">
      <c r="A84" s="5" t="s">
        <v>326</v>
      </c>
      <c r="B84" s="6" t="s">
        <v>327</v>
      </c>
      <c r="C84" s="6" t="n">
        <v>3</v>
      </c>
      <c r="D84" s="6" t="s">
        <v>41</v>
      </c>
      <c r="E84" s="6" t="s">
        <v>328</v>
      </c>
      <c r="F84" s="6" t="s">
        <v>329</v>
      </c>
      <c r="G84" s="6" t="s">
        <v>330</v>
      </c>
      <c r="H84" s="6"/>
      <c r="I84" s="7" t="s">
        <v>30</v>
      </c>
      <c r="J84" s="7"/>
    </row>
    <row r="85" customFormat="false" ht="32.8" hidden="false" customHeight="false" outlineLevel="0" collapsed="false">
      <c r="A85" s="5" t="s">
        <v>331</v>
      </c>
      <c r="B85" s="6" t="s">
        <v>327</v>
      </c>
      <c r="C85" s="6" t="n">
        <v>3</v>
      </c>
      <c r="D85" s="6" t="s">
        <v>41</v>
      </c>
      <c r="E85" s="6" t="s">
        <v>332</v>
      </c>
      <c r="F85" s="6" t="s">
        <v>326</v>
      </c>
      <c r="G85" s="6" t="s">
        <v>333</v>
      </c>
      <c r="H85" s="6"/>
      <c r="I85" s="7" t="s">
        <v>30</v>
      </c>
      <c r="J85" s="7"/>
    </row>
    <row r="86" customFormat="false" ht="32.8" hidden="false" customHeight="false" outlineLevel="0" collapsed="false">
      <c r="A86" s="5" t="s">
        <v>334</v>
      </c>
      <c r="B86" s="6" t="s">
        <v>327</v>
      </c>
      <c r="C86" s="6" t="n">
        <v>3</v>
      </c>
      <c r="D86" s="6" t="s">
        <v>41</v>
      </c>
      <c r="E86" s="6" t="s">
        <v>335</v>
      </c>
      <c r="F86" s="6" t="s">
        <v>76</v>
      </c>
      <c r="G86" s="6" t="s">
        <v>336</v>
      </c>
      <c r="H86" s="6"/>
      <c r="I86" s="7" t="s">
        <v>30</v>
      </c>
      <c r="J86" s="7"/>
    </row>
    <row r="87" customFormat="false" ht="32.8" hidden="false" customHeight="false" outlineLevel="0" collapsed="false">
      <c r="A87" s="5" t="s">
        <v>337</v>
      </c>
      <c r="B87" s="6" t="s">
        <v>327</v>
      </c>
      <c r="C87" s="6" t="n">
        <v>3</v>
      </c>
      <c r="D87" s="6" t="s">
        <v>41</v>
      </c>
      <c r="E87" s="6" t="s">
        <v>338</v>
      </c>
      <c r="F87" s="6" t="s">
        <v>331</v>
      </c>
      <c r="G87" s="6" t="s">
        <v>339</v>
      </c>
      <c r="H87" s="6"/>
      <c r="I87" s="7" t="s">
        <v>30</v>
      </c>
      <c r="J87" s="7"/>
    </row>
    <row r="88" customFormat="false" ht="32.8" hidden="false" customHeight="false" outlineLevel="0" collapsed="false">
      <c r="A88" s="5" t="s">
        <v>340</v>
      </c>
      <c r="B88" s="6" t="s">
        <v>327</v>
      </c>
      <c r="C88" s="6" t="n">
        <v>3</v>
      </c>
      <c r="D88" s="6" t="s">
        <v>41</v>
      </c>
      <c r="E88" s="6" t="s">
        <v>341</v>
      </c>
      <c r="F88" s="6" t="s">
        <v>342</v>
      </c>
      <c r="G88" s="6" t="s">
        <v>343</v>
      </c>
      <c r="H88" s="6"/>
      <c r="I88" s="7" t="s">
        <v>30</v>
      </c>
      <c r="J88" s="7"/>
    </row>
    <row r="89" customFormat="false" ht="32.8" hidden="false" customHeight="false" outlineLevel="0" collapsed="false">
      <c r="A89" s="5" t="s">
        <v>344</v>
      </c>
      <c r="B89" s="6" t="s">
        <v>327</v>
      </c>
      <c r="C89" s="6" t="n">
        <v>3</v>
      </c>
      <c r="D89" s="6" t="s">
        <v>41</v>
      </c>
      <c r="E89" s="6" t="s">
        <v>345</v>
      </c>
      <c r="F89" s="6" t="s">
        <v>346</v>
      </c>
      <c r="G89" s="6" t="s">
        <v>347</v>
      </c>
      <c r="H89" s="6"/>
      <c r="I89" s="7" t="s">
        <v>30</v>
      </c>
      <c r="J89" s="7"/>
    </row>
    <row r="90" customFormat="false" ht="32.8" hidden="false" customHeight="false" outlineLevel="0" collapsed="false">
      <c r="A90" s="5" t="s">
        <v>348</v>
      </c>
      <c r="B90" s="6" t="s">
        <v>327</v>
      </c>
      <c r="C90" s="6" t="n">
        <v>3</v>
      </c>
      <c r="D90" s="6" t="s">
        <v>41</v>
      </c>
      <c r="E90" s="6" t="s">
        <v>349</v>
      </c>
      <c r="F90" s="6" t="s">
        <v>331</v>
      </c>
      <c r="G90" s="6" t="s">
        <v>350</v>
      </c>
      <c r="H90" s="6"/>
      <c r="I90" s="7" t="s">
        <v>30</v>
      </c>
      <c r="J90" s="7"/>
    </row>
    <row r="91" customFormat="false" ht="22.35" hidden="false" customHeight="false" outlineLevel="0" collapsed="false">
      <c r="A91" s="5" t="s">
        <v>351</v>
      </c>
      <c r="B91" s="6" t="s">
        <v>327</v>
      </c>
      <c r="C91" s="6" t="n">
        <v>3</v>
      </c>
      <c r="D91" s="6" t="s">
        <v>41</v>
      </c>
      <c r="E91" s="6" t="s">
        <v>352</v>
      </c>
      <c r="F91" s="6" t="s">
        <v>353</v>
      </c>
      <c r="G91" s="6" t="s">
        <v>354</v>
      </c>
      <c r="H91" s="6"/>
      <c r="I91" s="7" t="s">
        <v>30</v>
      </c>
      <c r="J91" s="7"/>
    </row>
    <row r="92" customFormat="false" ht="32.8" hidden="false" customHeight="false" outlineLevel="0" collapsed="false">
      <c r="A92" s="5" t="s">
        <v>355</v>
      </c>
      <c r="B92" s="6" t="s">
        <v>327</v>
      </c>
      <c r="C92" s="6" t="n">
        <v>3</v>
      </c>
      <c r="D92" s="6" t="s">
        <v>41</v>
      </c>
      <c r="E92" s="6" t="s">
        <v>356</v>
      </c>
      <c r="F92" s="6" t="s">
        <v>76</v>
      </c>
      <c r="G92" s="6" t="s">
        <v>357</v>
      </c>
      <c r="H92" s="6"/>
      <c r="I92" s="7" t="s">
        <v>30</v>
      </c>
      <c r="J92" s="7"/>
    </row>
    <row r="93" customFormat="false" ht="22.35" hidden="false" customHeight="false" outlineLevel="0" collapsed="false">
      <c r="A93" s="5" t="s">
        <v>358</v>
      </c>
      <c r="B93" s="6" t="s">
        <v>359</v>
      </c>
      <c r="C93" s="6" t="n">
        <v>4</v>
      </c>
      <c r="D93" s="6" t="s">
        <v>41</v>
      </c>
      <c r="E93" s="6" t="s">
        <v>360</v>
      </c>
      <c r="F93" s="6" t="s">
        <v>226</v>
      </c>
      <c r="G93" s="6" t="s">
        <v>361</v>
      </c>
      <c r="H93" s="6"/>
      <c r="I93" s="7" t="s">
        <v>30</v>
      </c>
      <c r="J93" s="7"/>
    </row>
    <row r="94" customFormat="false" ht="32.8" hidden="false" customHeight="false" outlineLevel="0" collapsed="false">
      <c r="A94" s="5" t="s">
        <v>362</v>
      </c>
      <c r="B94" s="6" t="s">
        <v>359</v>
      </c>
      <c r="C94" s="6" t="n">
        <v>4</v>
      </c>
      <c r="D94" s="6" t="s">
        <v>41</v>
      </c>
      <c r="E94" s="6" t="s">
        <v>363</v>
      </c>
      <c r="F94" s="6" t="s">
        <v>364</v>
      </c>
      <c r="G94" s="6" t="s">
        <v>365</v>
      </c>
      <c r="H94" s="6"/>
      <c r="I94" s="7" t="s">
        <v>30</v>
      </c>
      <c r="J94" s="7"/>
    </row>
    <row r="95" customFormat="false" ht="22.35" hidden="false" customHeight="false" outlineLevel="0" collapsed="false">
      <c r="A95" s="5" t="s">
        <v>366</v>
      </c>
      <c r="B95" s="6" t="s">
        <v>359</v>
      </c>
      <c r="C95" s="6" t="n">
        <v>4</v>
      </c>
      <c r="D95" s="6" t="s">
        <v>25</v>
      </c>
      <c r="E95" s="6" t="s">
        <v>367</v>
      </c>
      <c r="F95" s="6" t="s">
        <v>362</v>
      </c>
      <c r="G95" s="6" t="s">
        <v>368</v>
      </c>
      <c r="H95" s="6"/>
      <c r="I95" s="7" t="s">
        <v>30</v>
      </c>
      <c r="J95" s="7"/>
    </row>
    <row r="96" customFormat="false" ht="32.8" hidden="false" customHeight="false" outlineLevel="0" collapsed="false">
      <c r="A96" s="5" t="s">
        <v>369</v>
      </c>
      <c r="B96" s="6" t="s">
        <v>359</v>
      </c>
      <c r="C96" s="6" t="n">
        <v>4</v>
      </c>
      <c r="D96" s="6" t="s">
        <v>25</v>
      </c>
      <c r="E96" s="6" t="s">
        <v>370</v>
      </c>
      <c r="F96" s="6" t="s">
        <v>362</v>
      </c>
      <c r="G96" s="6" t="s">
        <v>371</v>
      </c>
      <c r="H96" s="6"/>
      <c r="I96" s="7" t="s">
        <v>30</v>
      </c>
      <c r="J96" s="7"/>
    </row>
    <row r="97" customFormat="false" ht="32.8" hidden="false" customHeight="false" outlineLevel="0" collapsed="false">
      <c r="A97" s="5" t="s">
        <v>372</v>
      </c>
      <c r="B97" s="6" t="s">
        <v>359</v>
      </c>
      <c r="C97" s="6" t="n">
        <v>4</v>
      </c>
      <c r="D97" s="6" t="s">
        <v>41</v>
      </c>
      <c r="E97" s="6" t="s">
        <v>373</v>
      </c>
      <c r="F97" s="6" t="s">
        <v>374</v>
      </c>
      <c r="G97" s="6" t="s">
        <v>375</v>
      </c>
      <c r="H97" s="6"/>
      <c r="I97" s="7" t="s">
        <v>30</v>
      </c>
      <c r="J97" s="7"/>
    </row>
    <row r="98" customFormat="false" ht="32.8" hidden="false" customHeight="false" outlineLevel="0" collapsed="false">
      <c r="A98" s="5" t="s">
        <v>376</v>
      </c>
      <c r="B98" s="6" t="s">
        <v>359</v>
      </c>
      <c r="C98" s="6" t="n">
        <v>4</v>
      </c>
      <c r="D98" s="6" t="s">
        <v>41</v>
      </c>
      <c r="E98" s="6" t="s">
        <v>377</v>
      </c>
      <c r="F98" s="6" t="s">
        <v>378</v>
      </c>
      <c r="G98" s="6" t="s">
        <v>379</v>
      </c>
      <c r="H98" s="6"/>
      <c r="I98" s="7" t="s">
        <v>30</v>
      </c>
      <c r="J98" s="7"/>
    </row>
    <row r="99" customFormat="false" ht="32.8" hidden="false" customHeight="false" outlineLevel="0" collapsed="false">
      <c r="A99" s="5" t="s">
        <v>380</v>
      </c>
      <c r="B99" s="6" t="s">
        <v>359</v>
      </c>
      <c r="C99" s="6" t="n">
        <v>4</v>
      </c>
      <c r="D99" s="6" t="s">
        <v>41</v>
      </c>
      <c r="E99" s="6" t="s">
        <v>381</v>
      </c>
      <c r="F99" s="6" t="s">
        <v>362</v>
      </c>
      <c r="G99" s="6" t="s">
        <v>382</v>
      </c>
      <c r="H99" s="6"/>
      <c r="I99" s="7" t="s">
        <v>30</v>
      </c>
      <c r="J99" s="7"/>
    </row>
    <row r="100" customFormat="false" ht="32.8" hidden="false" customHeight="false" outlineLevel="0" collapsed="false">
      <c r="A100" s="5" t="s">
        <v>383</v>
      </c>
      <c r="B100" s="6" t="s">
        <v>359</v>
      </c>
      <c r="C100" s="6" t="n">
        <v>4</v>
      </c>
      <c r="D100" s="6" t="s">
        <v>41</v>
      </c>
      <c r="E100" s="6" t="s">
        <v>384</v>
      </c>
      <c r="F100" s="6" t="s">
        <v>385</v>
      </c>
      <c r="G100" s="6" t="s">
        <v>386</v>
      </c>
      <c r="H100" s="6"/>
      <c r="I100" s="7" t="s">
        <v>30</v>
      </c>
      <c r="J100" s="7"/>
    </row>
    <row r="101" customFormat="false" ht="22.35" hidden="false" customHeight="false" outlineLevel="0" collapsed="false">
      <c r="A101" s="5" t="s">
        <v>387</v>
      </c>
      <c r="B101" s="6" t="s">
        <v>359</v>
      </c>
      <c r="C101" s="6" t="n">
        <v>4</v>
      </c>
      <c r="D101" s="6" t="s">
        <v>41</v>
      </c>
      <c r="E101" s="6" t="s">
        <v>388</v>
      </c>
      <c r="F101" s="6" t="s">
        <v>362</v>
      </c>
      <c r="G101" s="6" t="s">
        <v>389</v>
      </c>
      <c r="H101" s="6"/>
      <c r="I101" s="7" t="s">
        <v>30</v>
      </c>
      <c r="J101" s="7"/>
    </row>
    <row r="102" customFormat="false" ht="22.35" hidden="false" customHeight="false" outlineLevel="0" collapsed="false">
      <c r="A102" s="5" t="s">
        <v>390</v>
      </c>
      <c r="B102" s="6" t="s">
        <v>359</v>
      </c>
      <c r="C102" s="6" t="n">
        <v>4</v>
      </c>
      <c r="D102" s="6" t="s">
        <v>74</v>
      </c>
      <c r="E102" s="6" t="s">
        <v>391</v>
      </c>
      <c r="F102" s="6" t="s">
        <v>362</v>
      </c>
      <c r="G102" s="6" t="s">
        <v>392</v>
      </c>
      <c r="H102" s="6"/>
      <c r="I102" s="7" t="s">
        <v>30</v>
      </c>
      <c r="J102" s="7"/>
    </row>
    <row r="103" customFormat="false" ht="32.8" hidden="false" customHeight="false" outlineLevel="0" collapsed="false">
      <c r="A103" s="5" t="s">
        <v>393</v>
      </c>
      <c r="B103" s="6" t="s">
        <v>394</v>
      </c>
      <c r="C103" s="6" t="n">
        <v>4</v>
      </c>
      <c r="D103" s="6" t="s">
        <v>41</v>
      </c>
      <c r="E103" s="6" t="s">
        <v>395</v>
      </c>
      <c r="F103" s="6" t="s">
        <v>396</v>
      </c>
      <c r="G103" s="6" t="s">
        <v>397</v>
      </c>
      <c r="H103" s="6"/>
      <c r="I103" s="7" t="s">
        <v>30</v>
      </c>
      <c r="J103" s="7"/>
    </row>
    <row r="104" customFormat="false" ht="32.8" hidden="false" customHeight="false" outlineLevel="0" collapsed="false">
      <c r="A104" s="5" t="s">
        <v>374</v>
      </c>
      <c r="B104" s="6" t="s">
        <v>394</v>
      </c>
      <c r="C104" s="6" t="n">
        <v>4</v>
      </c>
      <c r="D104" s="6" t="s">
        <v>25</v>
      </c>
      <c r="E104" s="6" t="s">
        <v>398</v>
      </c>
      <c r="F104" s="6" t="s">
        <v>393</v>
      </c>
      <c r="G104" s="6" t="s">
        <v>399</v>
      </c>
      <c r="H104" s="6"/>
      <c r="I104" s="7" t="s">
        <v>30</v>
      </c>
      <c r="J104" s="7"/>
    </row>
    <row r="105" customFormat="false" ht="32.8" hidden="false" customHeight="false" outlineLevel="0" collapsed="false">
      <c r="A105" s="5" t="s">
        <v>400</v>
      </c>
      <c r="B105" s="6" t="s">
        <v>394</v>
      </c>
      <c r="C105" s="6" t="n">
        <v>4</v>
      </c>
      <c r="D105" s="6" t="s">
        <v>41</v>
      </c>
      <c r="E105" s="6" t="s">
        <v>401</v>
      </c>
      <c r="F105" s="6" t="s">
        <v>393</v>
      </c>
      <c r="G105" s="6" t="s">
        <v>402</v>
      </c>
      <c r="H105" s="6"/>
      <c r="I105" s="7" t="s">
        <v>30</v>
      </c>
      <c r="J105" s="7"/>
    </row>
    <row r="106" customFormat="false" ht="22.35" hidden="false" customHeight="false" outlineLevel="0" collapsed="false">
      <c r="A106" s="5" t="s">
        <v>403</v>
      </c>
      <c r="B106" s="6" t="s">
        <v>394</v>
      </c>
      <c r="C106" s="6" t="n">
        <v>4</v>
      </c>
      <c r="D106" s="6" t="s">
        <v>41</v>
      </c>
      <c r="E106" s="6" t="s">
        <v>404</v>
      </c>
      <c r="F106" s="6" t="s">
        <v>374</v>
      </c>
      <c r="G106" s="6" t="s">
        <v>405</v>
      </c>
      <c r="H106" s="6"/>
      <c r="I106" s="7" t="s">
        <v>30</v>
      </c>
      <c r="J106" s="7"/>
    </row>
    <row r="107" customFormat="false" ht="22.35" hidden="false" customHeight="false" outlineLevel="0" collapsed="false">
      <c r="A107" s="5" t="s">
        <v>406</v>
      </c>
      <c r="B107" s="6" t="s">
        <v>394</v>
      </c>
      <c r="C107" s="6" t="n">
        <v>4</v>
      </c>
      <c r="D107" s="6" t="s">
        <v>74</v>
      </c>
      <c r="E107" s="6" t="s">
        <v>407</v>
      </c>
      <c r="F107" s="6" t="s">
        <v>408</v>
      </c>
      <c r="G107" s="6" t="s">
        <v>409</v>
      </c>
      <c r="H107" s="6"/>
      <c r="I107" s="7" t="s">
        <v>30</v>
      </c>
      <c r="J107" s="7"/>
    </row>
    <row r="108" customFormat="false" ht="32.8" hidden="false" customHeight="false" outlineLevel="0" collapsed="false">
      <c r="A108" s="5" t="s">
        <v>410</v>
      </c>
      <c r="B108" s="6" t="s">
        <v>411</v>
      </c>
      <c r="C108" s="6" t="n">
        <v>5</v>
      </c>
      <c r="D108" s="6" t="s">
        <v>74</v>
      </c>
      <c r="E108" s="6" t="s">
        <v>412</v>
      </c>
      <c r="F108" s="6" t="s">
        <v>413</v>
      </c>
      <c r="G108" s="6" t="s">
        <v>414</v>
      </c>
      <c r="H108" s="6"/>
      <c r="I108" s="7" t="s">
        <v>30</v>
      </c>
      <c r="J108" s="7"/>
    </row>
    <row r="109" customFormat="false" ht="22.35" hidden="false" customHeight="false" outlineLevel="0" collapsed="false">
      <c r="A109" s="5" t="s">
        <v>415</v>
      </c>
      <c r="B109" s="6" t="s">
        <v>411</v>
      </c>
      <c r="C109" s="6" t="n">
        <v>5</v>
      </c>
      <c r="D109" s="6" t="s">
        <v>74</v>
      </c>
      <c r="E109" s="6" t="s">
        <v>416</v>
      </c>
      <c r="F109" s="6" t="s">
        <v>417</v>
      </c>
      <c r="G109" s="6" t="s">
        <v>418</v>
      </c>
      <c r="H109" s="6"/>
      <c r="I109" s="7" t="s">
        <v>30</v>
      </c>
      <c r="J109" s="7"/>
    </row>
    <row r="110" customFormat="false" ht="22.35" hidden="false" customHeight="false" outlineLevel="0" collapsed="false">
      <c r="A110" s="5" t="s">
        <v>419</v>
      </c>
      <c r="B110" s="6" t="s">
        <v>411</v>
      </c>
      <c r="C110" s="6" t="n">
        <v>5</v>
      </c>
      <c r="D110" s="6" t="s">
        <v>74</v>
      </c>
      <c r="E110" s="6" t="s">
        <v>420</v>
      </c>
      <c r="F110" s="6" t="s">
        <v>421</v>
      </c>
      <c r="G110" s="6" t="s">
        <v>422</v>
      </c>
      <c r="H110" s="6"/>
      <c r="I110" s="7" t="s">
        <v>30</v>
      </c>
      <c r="J110" s="7"/>
    </row>
    <row r="111" customFormat="false" ht="22.35" hidden="false" customHeight="false" outlineLevel="0" collapsed="false">
      <c r="A111" s="5" t="s">
        <v>126</v>
      </c>
      <c r="B111" s="6" t="s">
        <v>423</v>
      </c>
      <c r="C111" s="6" t="n">
        <v>1</v>
      </c>
      <c r="D111" s="6" t="s">
        <v>41</v>
      </c>
      <c r="E111" s="6" t="s">
        <v>424</v>
      </c>
      <c r="F111" s="6" t="s">
        <v>226</v>
      </c>
      <c r="G111" s="6" t="s">
        <v>425</v>
      </c>
      <c r="H111" s="6"/>
      <c r="I111" s="7" t="s">
        <v>30</v>
      </c>
      <c r="J111" s="7"/>
    </row>
    <row r="112" customFormat="false" ht="22.35" hidden="false" customHeight="false" outlineLevel="0" collapsed="false">
      <c r="A112" s="5" t="s">
        <v>426</v>
      </c>
      <c r="B112" s="6" t="s">
        <v>423</v>
      </c>
      <c r="C112" s="6" t="n">
        <v>3</v>
      </c>
      <c r="D112" s="6" t="s">
        <v>41</v>
      </c>
      <c r="E112" s="6" t="s">
        <v>427</v>
      </c>
      <c r="F112" s="6" t="s">
        <v>344</v>
      </c>
      <c r="G112" s="6" t="s">
        <v>428</v>
      </c>
      <c r="H112" s="6"/>
      <c r="I112" s="7" t="s">
        <v>30</v>
      </c>
      <c r="J112" s="7"/>
    </row>
    <row r="113" customFormat="false" ht="32.8" hidden="false" customHeight="false" outlineLevel="0" collapsed="false">
      <c r="A113" s="5" t="s">
        <v>429</v>
      </c>
      <c r="B113" s="6" t="s">
        <v>423</v>
      </c>
      <c r="C113" s="6" t="n">
        <v>1</v>
      </c>
      <c r="D113" s="6" t="s">
        <v>41</v>
      </c>
      <c r="E113" s="6" t="s">
        <v>430</v>
      </c>
      <c r="F113" s="6" t="s">
        <v>126</v>
      </c>
      <c r="G113" s="6" t="s">
        <v>431</v>
      </c>
      <c r="H113" s="6"/>
      <c r="I113" s="7" t="s">
        <v>30</v>
      </c>
      <c r="J113" s="7"/>
    </row>
    <row r="114" customFormat="false" ht="22.35" hidden="false" customHeight="false" outlineLevel="0" collapsed="false">
      <c r="A114" s="5" t="s">
        <v>432</v>
      </c>
      <c r="B114" s="6" t="s">
        <v>423</v>
      </c>
      <c r="C114" s="6" t="n">
        <v>1</v>
      </c>
      <c r="D114" s="6" t="s">
        <v>25</v>
      </c>
      <c r="E114" s="6" t="s">
        <v>433</v>
      </c>
      <c r="F114" s="6" t="s">
        <v>126</v>
      </c>
      <c r="G114" s="6" t="s">
        <v>434</v>
      </c>
      <c r="H114" s="6"/>
      <c r="I114" s="7" t="s">
        <v>30</v>
      </c>
      <c r="J114" s="7"/>
    </row>
    <row r="115" customFormat="false" ht="22.35" hidden="false" customHeight="false" outlineLevel="0" collapsed="false">
      <c r="A115" s="5" t="s">
        <v>435</v>
      </c>
      <c r="B115" s="6" t="s">
        <v>423</v>
      </c>
      <c r="C115" s="6" t="n">
        <v>3</v>
      </c>
      <c r="D115" s="6" t="s">
        <v>41</v>
      </c>
      <c r="E115" s="6" t="s">
        <v>436</v>
      </c>
      <c r="F115" s="6" t="s">
        <v>437</v>
      </c>
      <c r="G115" s="6" t="s">
        <v>438</v>
      </c>
      <c r="H115" s="6"/>
      <c r="I115" s="7" t="s">
        <v>30</v>
      </c>
      <c r="J115" s="7"/>
    </row>
    <row r="116" customFormat="false" ht="32.8" hidden="false" customHeight="false" outlineLevel="0" collapsed="false">
      <c r="A116" s="5" t="s">
        <v>439</v>
      </c>
      <c r="B116" s="6" t="s">
        <v>423</v>
      </c>
      <c r="C116" s="6" t="n">
        <v>5</v>
      </c>
      <c r="D116" s="6" t="s">
        <v>440</v>
      </c>
      <c r="E116" s="6" t="s">
        <v>441</v>
      </c>
      <c r="F116" s="6" t="s">
        <v>126</v>
      </c>
      <c r="G116" s="6" t="s">
        <v>442</v>
      </c>
      <c r="H116" s="6"/>
      <c r="I116" s="7" t="s">
        <v>30</v>
      </c>
      <c r="J116" s="7"/>
    </row>
    <row r="117" customFormat="false" ht="32.8" hidden="false" customHeight="false" outlineLevel="0" collapsed="false">
      <c r="A117" s="5" t="s">
        <v>443</v>
      </c>
      <c r="B117" s="6" t="s">
        <v>444</v>
      </c>
      <c r="C117" s="6" t="n">
        <v>1</v>
      </c>
      <c r="D117" s="6" t="s">
        <v>25</v>
      </c>
      <c r="E117" s="6" t="s">
        <v>445</v>
      </c>
      <c r="F117" s="6" t="s">
        <v>40</v>
      </c>
      <c r="G117" s="6" t="s">
        <v>446</v>
      </c>
      <c r="H117" s="6"/>
      <c r="I117" s="7" t="s">
        <v>30</v>
      </c>
      <c r="J117" s="7"/>
    </row>
    <row r="118" customFormat="false" ht="32.8" hidden="false" customHeight="false" outlineLevel="0" collapsed="false">
      <c r="A118" s="5" t="s">
        <v>91</v>
      </c>
      <c r="B118" s="6" t="s">
        <v>444</v>
      </c>
      <c r="C118" s="6" t="n">
        <v>1</v>
      </c>
      <c r="D118" s="6" t="s">
        <v>25</v>
      </c>
      <c r="E118" s="6" t="s">
        <v>447</v>
      </c>
      <c r="F118" s="6" t="s">
        <v>443</v>
      </c>
      <c r="G118" s="6" t="s">
        <v>448</v>
      </c>
      <c r="H118" s="6"/>
      <c r="I118" s="7" t="s">
        <v>30</v>
      </c>
      <c r="J118" s="7"/>
    </row>
    <row r="119" customFormat="false" ht="32.8" hidden="false" customHeight="false" outlineLevel="0" collapsed="false">
      <c r="A119" s="5" t="s">
        <v>53</v>
      </c>
      <c r="B119" s="6" t="s">
        <v>444</v>
      </c>
      <c r="C119" s="6" t="n">
        <v>1</v>
      </c>
      <c r="D119" s="6" t="s">
        <v>25</v>
      </c>
      <c r="E119" s="6" t="s">
        <v>449</v>
      </c>
      <c r="F119" s="6" t="s">
        <v>443</v>
      </c>
      <c r="G119" s="6" t="s">
        <v>450</v>
      </c>
      <c r="H119" s="6"/>
      <c r="I119" s="7" t="s">
        <v>30</v>
      </c>
      <c r="J119" s="7"/>
    </row>
    <row r="120" customFormat="false" ht="32.8" hidden="false" customHeight="false" outlineLevel="0" collapsed="false">
      <c r="A120" s="5" t="s">
        <v>87</v>
      </c>
      <c r="B120" s="6" t="s">
        <v>444</v>
      </c>
      <c r="C120" s="6" t="n">
        <v>1</v>
      </c>
      <c r="D120" s="6" t="s">
        <v>25</v>
      </c>
      <c r="E120" s="6" t="s">
        <v>451</v>
      </c>
      <c r="F120" s="6" t="s">
        <v>443</v>
      </c>
      <c r="G120" s="6" t="s">
        <v>452</v>
      </c>
      <c r="H120" s="6"/>
      <c r="I120" s="7" t="s">
        <v>30</v>
      </c>
      <c r="J120" s="7"/>
    </row>
    <row r="121" customFormat="false" ht="32.8" hidden="false" customHeight="false" outlineLevel="0" collapsed="false">
      <c r="A121" s="5" t="s">
        <v>353</v>
      </c>
      <c r="B121" s="6" t="s">
        <v>444</v>
      </c>
      <c r="C121" s="6" t="n">
        <v>1</v>
      </c>
      <c r="D121" s="6" t="s">
        <v>41</v>
      </c>
      <c r="E121" s="6" t="s">
        <v>453</v>
      </c>
      <c r="F121" s="6" t="s">
        <v>443</v>
      </c>
      <c r="G121" s="6" t="s">
        <v>454</v>
      </c>
      <c r="H121" s="6"/>
      <c r="I121" s="7" t="s">
        <v>30</v>
      </c>
      <c r="J121" s="7"/>
    </row>
    <row r="122" customFormat="false" ht="22.35" hidden="false" customHeight="false" outlineLevel="0" collapsed="false">
      <c r="A122" s="5" t="s">
        <v>455</v>
      </c>
      <c r="B122" s="6" t="s">
        <v>444</v>
      </c>
      <c r="C122" s="6" t="n">
        <v>1</v>
      </c>
      <c r="D122" s="6" t="s">
        <v>41</v>
      </c>
      <c r="E122" s="6" t="s">
        <v>456</v>
      </c>
      <c r="F122" s="6" t="s">
        <v>443</v>
      </c>
      <c r="G122" s="6" t="s">
        <v>457</v>
      </c>
      <c r="H122" s="6"/>
      <c r="I122" s="7" t="s">
        <v>30</v>
      </c>
      <c r="J122" s="7"/>
    </row>
    <row r="123" customFormat="false" ht="32.8" hidden="false" customHeight="false" outlineLevel="0" collapsed="false">
      <c r="A123" s="5" t="s">
        <v>231</v>
      </c>
      <c r="B123" s="6" t="s">
        <v>444</v>
      </c>
      <c r="C123" s="6" t="n">
        <v>2</v>
      </c>
      <c r="D123" s="6" t="s">
        <v>41</v>
      </c>
      <c r="E123" s="6" t="s">
        <v>458</v>
      </c>
      <c r="F123" s="6" t="s">
        <v>443</v>
      </c>
      <c r="G123" s="6" t="s">
        <v>459</v>
      </c>
      <c r="H123" s="6"/>
      <c r="I123" s="7" t="s">
        <v>30</v>
      </c>
      <c r="J123" s="7"/>
    </row>
    <row r="124" customFormat="false" ht="22.35" hidden="false" customHeight="false" outlineLevel="0" collapsed="false">
      <c r="A124" s="5" t="s">
        <v>460</v>
      </c>
      <c r="B124" s="6" t="s">
        <v>444</v>
      </c>
      <c r="C124" s="6" t="n">
        <v>2</v>
      </c>
      <c r="D124" s="6" t="s">
        <v>41</v>
      </c>
      <c r="E124" s="6" t="s">
        <v>461</v>
      </c>
      <c r="F124" s="6" t="s">
        <v>161</v>
      </c>
      <c r="G124" s="6" t="s">
        <v>462</v>
      </c>
      <c r="H124" s="6"/>
      <c r="I124" s="7" t="s">
        <v>30</v>
      </c>
      <c r="J124" s="7"/>
    </row>
    <row r="125" customFormat="false" ht="32.8" hidden="false" customHeight="false" outlineLevel="0" collapsed="false">
      <c r="A125" s="5" t="s">
        <v>463</v>
      </c>
      <c r="B125" s="6" t="s">
        <v>444</v>
      </c>
      <c r="C125" s="6" t="n">
        <v>3</v>
      </c>
      <c r="D125" s="6" t="s">
        <v>41</v>
      </c>
      <c r="E125" s="6" t="s">
        <v>464</v>
      </c>
      <c r="F125" s="6" t="s">
        <v>292</v>
      </c>
      <c r="G125" s="6" t="s">
        <v>465</v>
      </c>
      <c r="H125" s="6"/>
      <c r="I125" s="7" t="s">
        <v>30</v>
      </c>
      <c r="J125" s="7"/>
    </row>
    <row r="126" customFormat="false" ht="32.8" hidden="false" customHeight="false" outlineLevel="0" collapsed="false">
      <c r="A126" s="5" t="s">
        <v>396</v>
      </c>
      <c r="B126" s="6" t="s">
        <v>444</v>
      </c>
      <c r="C126" s="6" t="n">
        <v>4</v>
      </c>
      <c r="D126" s="6" t="s">
        <v>41</v>
      </c>
      <c r="E126" s="6" t="s">
        <v>466</v>
      </c>
      <c r="F126" s="6" t="s">
        <v>443</v>
      </c>
      <c r="G126" s="6" t="s">
        <v>467</v>
      </c>
      <c r="H126" s="6"/>
      <c r="I126" s="7" t="s">
        <v>30</v>
      </c>
      <c r="J126" s="7"/>
    </row>
    <row r="127" customFormat="false" ht="32.8" hidden="false" customHeight="false" outlineLevel="0" collapsed="false">
      <c r="A127" s="5" t="s">
        <v>468</v>
      </c>
      <c r="B127" s="6" t="s">
        <v>469</v>
      </c>
      <c r="C127" s="6" t="n">
        <v>3</v>
      </c>
      <c r="D127" s="6" t="s">
        <v>41</v>
      </c>
      <c r="E127" s="6" t="s">
        <v>470</v>
      </c>
      <c r="F127" s="6" t="s">
        <v>471</v>
      </c>
      <c r="G127" s="6" t="s">
        <v>472</v>
      </c>
      <c r="H127" s="6"/>
      <c r="I127" s="7" t="s">
        <v>30</v>
      </c>
      <c r="J127" s="7"/>
    </row>
    <row r="128" customFormat="false" ht="22.35" hidden="false" customHeight="false" outlineLevel="0" collapsed="false">
      <c r="A128" s="5" t="s">
        <v>437</v>
      </c>
      <c r="B128" s="6" t="s">
        <v>469</v>
      </c>
      <c r="C128" s="6" t="n">
        <v>3</v>
      </c>
      <c r="D128" s="6" t="s">
        <v>41</v>
      </c>
      <c r="E128" s="6" t="s">
        <v>473</v>
      </c>
      <c r="F128" s="6" t="s">
        <v>474</v>
      </c>
      <c r="G128" s="6" t="s">
        <v>475</v>
      </c>
      <c r="H128" s="6"/>
      <c r="I128" s="7" t="s">
        <v>30</v>
      </c>
      <c r="J128" s="7"/>
    </row>
    <row r="129" customFormat="false" ht="22.35" hidden="false" customHeight="false" outlineLevel="0" collapsed="false">
      <c r="A129" s="5" t="s">
        <v>170</v>
      </c>
      <c r="B129" s="6" t="s">
        <v>469</v>
      </c>
      <c r="C129" s="6" t="n">
        <v>3</v>
      </c>
      <c r="D129" s="6" t="s">
        <v>41</v>
      </c>
      <c r="E129" s="6" t="s">
        <v>476</v>
      </c>
      <c r="F129" s="6" t="s">
        <v>468</v>
      </c>
      <c r="G129" s="6" t="s">
        <v>477</v>
      </c>
      <c r="H129" s="6"/>
      <c r="I129" s="7" t="s">
        <v>30</v>
      </c>
      <c r="J129" s="7"/>
    </row>
    <row r="130" customFormat="false" ht="32.8" hidden="false" customHeight="false" outlineLevel="0" collapsed="false">
      <c r="A130" s="5" t="s">
        <v>478</v>
      </c>
      <c r="B130" s="6" t="s">
        <v>469</v>
      </c>
      <c r="C130" s="6" t="n">
        <v>4</v>
      </c>
      <c r="D130" s="6" t="s">
        <v>74</v>
      </c>
      <c r="E130" s="6" t="s">
        <v>479</v>
      </c>
      <c r="F130" s="6" t="s">
        <v>468</v>
      </c>
      <c r="G130" s="6" t="s">
        <v>480</v>
      </c>
      <c r="H130" s="6"/>
      <c r="I130" s="7" t="s">
        <v>30</v>
      </c>
      <c r="J130" s="7"/>
    </row>
    <row r="131" customFormat="false" ht="22.35" hidden="false" customHeight="false" outlineLevel="0" collapsed="false">
      <c r="A131" s="5" t="s">
        <v>481</v>
      </c>
      <c r="B131" s="6" t="s">
        <v>469</v>
      </c>
      <c r="C131" s="6" t="n">
        <v>3</v>
      </c>
      <c r="D131" s="6" t="s">
        <v>74</v>
      </c>
      <c r="E131" s="6" t="s">
        <v>482</v>
      </c>
      <c r="F131" s="6" t="s">
        <v>483</v>
      </c>
      <c r="G131" s="6" t="s">
        <v>484</v>
      </c>
      <c r="H131" s="6"/>
      <c r="I131" s="7" t="s">
        <v>30</v>
      </c>
      <c r="J131" s="7"/>
    </row>
    <row r="132" customFormat="false" ht="22.35" hidden="false" customHeight="false" outlineLevel="0" collapsed="false">
      <c r="A132" s="5" t="s">
        <v>485</v>
      </c>
      <c r="B132" s="6" t="s">
        <v>469</v>
      </c>
      <c r="C132" s="6" t="n">
        <v>3</v>
      </c>
      <c r="D132" s="6" t="s">
        <v>25</v>
      </c>
      <c r="E132" s="6" t="s">
        <v>486</v>
      </c>
      <c r="F132" s="6" t="s">
        <v>468</v>
      </c>
      <c r="G132" s="6" t="s">
        <v>487</v>
      </c>
      <c r="H132" s="6"/>
      <c r="I132" s="7" t="s">
        <v>30</v>
      </c>
      <c r="J132" s="7"/>
    </row>
    <row r="133" customFormat="false" ht="32.8" hidden="false" customHeight="false" outlineLevel="0" collapsed="false">
      <c r="A133" s="5" t="s">
        <v>488</v>
      </c>
      <c r="B133" s="6" t="s">
        <v>469</v>
      </c>
      <c r="C133" s="6" t="n">
        <v>3</v>
      </c>
      <c r="D133" s="6" t="s">
        <v>41</v>
      </c>
      <c r="E133" s="6" t="s">
        <v>489</v>
      </c>
      <c r="F133" s="6" t="s">
        <v>468</v>
      </c>
      <c r="G133" s="6" t="s">
        <v>490</v>
      </c>
      <c r="H133" s="6"/>
      <c r="I133" s="7" t="s">
        <v>30</v>
      </c>
      <c r="J133" s="7"/>
    </row>
    <row r="134" customFormat="false" ht="22.35" hidden="false" customHeight="false" outlineLevel="0" collapsed="false">
      <c r="A134" s="5" t="s">
        <v>491</v>
      </c>
      <c r="B134" s="6" t="s">
        <v>492</v>
      </c>
      <c r="C134" s="6" t="n">
        <v>1</v>
      </c>
      <c r="D134" s="6" t="s">
        <v>25</v>
      </c>
      <c r="E134" s="6" t="s">
        <v>493</v>
      </c>
      <c r="F134" s="6" t="s">
        <v>494</v>
      </c>
      <c r="G134" s="6" t="s">
        <v>495</v>
      </c>
      <c r="H134" s="6"/>
      <c r="I134" s="7" t="s">
        <v>30</v>
      </c>
      <c r="J134" s="7"/>
    </row>
    <row r="135" customFormat="false" ht="43.25" hidden="false" customHeight="false" outlineLevel="0" collapsed="false">
      <c r="A135" s="5" t="s">
        <v>496</v>
      </c>
      <c r="B135" s="6" t="s">
        <v>492</v>
      </c>
      <c r="C135" s="6" t="n">
        <v>1</v>
      </c>
      <c r="D135" s="6" t="s">
        <v>25</v>
      </c>
      <c r="E135" s="6" t="s">
        <v>497</v>
      </c>
      <c r="F135" s="6" t="s">
        <v>494</v>
      </c>
      <c r="G135" s="6" t="s">
        <v>498</v>
      </c>
      <c r="H135" s="6"/>
      <c r="I135" s="7" t="s">
        <v>30</v>
      </c>
      <c r="J135" s="7"/>
    </row>
    <row r="136" customFormat="false" ht="22.35" hidden="false" customHeight="false" outlineLevel="0" collapsed="false">
      <c r="A136" s="5" t="s">
        <v>499</v>
      </c>
      <c r="B136" s="6" t="s">
        <v>492</v>
      </c>
      <c r="C136" s="6" t="n">
        <v>1</v>
      </c>
      <c r="D136" s="6" t="s">
        <v>25</v>
      </c>
      <c r="E136" s="6" t="s">
        <v>500</v>
      </c>
      <c r="F136" s="6" t="s">
        <v>491</v>
      </c>
      <c r="G136" s="6" t="s">
        <v>501</v>
      </c>
      <c r="H136" s="6"/>
      <c r="I136" s="7" t="s">
        <v>30</v>
      </c>
      <c r="J136" s="7"/>
    </row>
    <row r="137" customFormat="false" ht="22.35" hidden="false" customHeight="false" outlineLevel="0" collapsed="false">
      <c r="A137" s="5" t="s">
        <v>502</v>
      </c>
      <c r="B137" s="6" t="s">
        <v>492</v>
      </c>
      <c r="C137" s="6" t="n">
        <v>1</v>
      </c>
      <c r="D137" s="6" t="s">
        <v>25</v>
      </c>
      <c r="E137" s="6" t="s">
        <v>503</v>
      </c>
      <c r="F137" s="6" t="s">
        <v>69</v>
      </c>
      <c r="G137" s="6" t="s">
        <v>504</v>
      </c>
      <c r="H137" s="6"/>
      <c r="I137" s="7" t="s">
        <v>30</v>
      </c>
      <c r="J137" s="7"/>
    </row>
    <row r="138" customFormat="false" ht="32.8" hidden="false" customHeight="false" outlineLevel="0" collapsed="false">
      <c r="A138" s="5" t="s">
        <v>166</v>
      </c>
      <c r="B138" s="6" t="s">
        <v>492</v>
      </c>
      <c r="C138" s="6" t="n">
        <v>1</v>
      </c>
      <c r="D138" s="6" t="s">
        <v>25</v>
      </c>
      <c r="E138" s="6" t="s">
        <v>505</v>
      </c>
      <c r="F138" s="6" t="s">
        <v>69</v>
      </c>
      <c r="G138" s="6" t="s">
        <v>506</v>
      </c>
      <c r="H138" s="6"/>
      <c r="I138" s="7" t="s">
        <v>30</v>
      </c>
      <c r="J138" s="7"/>
    </row>
    <row r="139" customFormat="false" ht="32.8" hidden="false" customHeight="false" outlineLevel="0" collapsed="false">
      <c r="A139" s="5" t="s">
        <v>507</v>
      </c>
      <c r="B139" s="6" t="s">
        <v>492</v>
      </c>
      <c r="C139" s="6" t="n">
        <v>2</v>
      </c>
      <c r="D139" s="6" t="s">
        <v>25</v>
      </c>
      <c r="E139" s="6" t="s">
        <v>508</v>
      </c>
      <c r="F139" s="6" t="s">
        <v>509</v>
      </c>
      <c r="G139" s="6" t="s">
        <v>510</v>
      </c>
      <c r="H139" s="6"/>
      <c r="I139" s="7" t="s">
        <v>30</v>
      </c>
      <c r="J139" s="7"/>
    </row>
    <row r="140" customFormat="false" ht="32.8" hidden="false" customHeight="false" outlineLevel="0" collapsed="false">
      <c r="A140" s="5" t="s">
        <v>511</v>
      </c>
      <c r="B140" s="6" t="s">
        <v>492</v>
      </c>
      <c r="C140" s="6" t="n">
        <v>1</v>
      </c>
      <c r="D140" s="6" t="s">
        <v>25</v>
      </c>
      <c r="E140" s="6" t="s">
        <v>512</v>
      </c>
      <c r="F140" s="6" t="s">
        <v>31</v>
      </c>
      <c r="G140" s="6" t="s">
        <v>513</v>
      </c>
      <c r="H140" s="6"/>
      <c r="I140" s="7" t="s">
        <v>30</v>
      </c>
      <c r="J140" s="7"/>
    </row>
    <row r="141" customFormat="false" ht="32.8" hidden="false" customHeight="false" outlineLevel="0" collapsed="false">
      <c r="A141" s="5" t="s">
        <v>514</v>
      </c>
      <c r="B141" s="6" t="s">
        <v>492</v>
      </c>
      <c r="C141" s="6" t="n">
        <v>2</v>
      </c>
      <c r="D141" s="6" t="s">
        <v>41</v>
      </c>
      <c r="E141" s="6" t="s">
        <v>515</v>
      </c>
      <c r="F141" s="6" t="s">
        <v>353</v>
      </c>
      <c r="G141" s="6" t="s">
        <v>516</v>
      </c>
      <c r="H141" s="6"/>
      <c r="I141" s="7" t="s">
        <v>30</v>
      </c>
      <c r="J141" s="7"/>
    </row>
  </sheetData>
  <autoFilter ref="A1:J141"/>
  <dataValidations count="1">
    <dataValidation allowBlank="true" errorStyle="stop" operator="between" showDropDown="false" showErrorMessage="false" showInputMessage="false" sqref="I2:I141" type="list">
      <formula1>"Not started,In progress,In review,Done,Blocked,Deferred"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20"/>
    <col collapsed="false" customWidth="true" hidden="false" outlineLevel="0" max="4" min="4" style="0" width="32"/>
    <col collapsed="false" customWidth="true" hidden="false" outlineLevel="0" max="5" min="5" style="0" width="60"/>
    <col collapsed="false" customWidth="true" hidden="false" outlineLevel="0" max="6" min="6" style="0" width="8"/>
    <col collapsed="false" customWidth="true" hidden="false" outlineLevel="0" max="7" min="7" style="0" width="22"/>
    <col collapsed="false" customWidth="true" hidden="false" outlineLevel="0" max="8" min="8" style="0" width="7"/>
    <col collapsed="false" customWidth="true" hidden="false" outlineLevel="0" max="11" min="9" style="0" width="9"/>
    <col collapsed="false" customWidth="true" hidden="false" outlineLevel="0" max="12" min="12" style="0" width="22"/>
    <col collapsed="false" customWidth="true" hidden="false" outlineLevel="0" max="13" min="13" style="0" width="55"/>
    <col collapsed="false" customWidth="true" hidden="false" outlineLevel="0" max="14" min="14" style="0" width="13"/>
    <col collapsed="false" customWidth="true" hidden="false" outlineLevel="0" max="15" min="15" style="0" width="14"/>
    <col collapsed="false" customWidth="true" hidden="false" outlineLevel="0" max="16" min="16" style="0" width="9"/>
  </cols>
  <sheetData>
    <row r="1" customFormat="false" ht="30" hidden="false" customHeight="true" outlineLevel="0" collapsed="false">
      <c r="A1" s="4" t="s">
        <v>517</v>
      </c>
      <c r="B1" s="4" t="s">
        <v>518</v>
      </c>
      <c r="C1" s="4" t="s">
        <v>15</v>
      </c>
      <c r="D1" s="4" t="s">
        <v>519</v>
      </c>
      <c r="E1" s="4" t="s">
        <v>520</v>
      </c>
      <c r="F1" s="4" t="s">
        <v>16</v>
      </c>
      <c r="G1" s="4" t="s">
        <v>18</v>
      </c>
      <c r="H1" s="4" t="s">
        <v>521</v>
      </c>
      <c r="I1" s="4" t="s">
        <v>522</v>
      </c>
      <c r="J1" s="4" t="s">
        <v>523</v>
      </c>
      <c r="K1" s="4" t="s">
        <v>524</v>
      </c>
      <c r="L1" s="4" t="s">
        <v>525</v>
      </c>
      <c r="M1" s="4" t="s">
        <v>526</v>
      </c>
      <c r="N1" s="4" t="s">
        <v>21</v>
      </c>
      <c r="O1" s="4" t="s">
        <v>527</v>
      </c>
      <c r="P1" s="4" t="s">
        <v>528</v>
      </c>
    </row>
    <row r="2" customFormat="false" ht="32.8" hidden="false" customHeight="false" outlineLevel="0" collapsed="false">
      <c r="A2" s="5" t="s">
        <v>529</v>
      </c>
      <c r="B2" s="6" t="s">
        <v>530</v>
      </c>
      <c r="C2" s="6" t="s">
        <v>531</v>
      </c>
      <c r="D2" s="6" t="s">
        <v>532</v>
      </c>
      <c r="E2" s="6" t="s">
        <v>533</v>
      </c>
      <c r="F2" s="6" t="s">
        <v>25</v>
      </c>
      <c r="G2" s="6" t="s">
        <v>534</v>
      </c>
      <c r="H2" s="6" t="s">
        <v>535</v>
      </c>
      <c r="I2" s="8" t="n">
        <v>3</v>
      </c>
      <c r="J2" s="8" t="n">
        <v>5</v>
      </c>
      <c r="K2" s="9" t="n">
        <f aca="false">AVERAGE(I2:J2)</f>
        <v>4</v>
      </c>
      <c r="L2" s="6" t="s">
        <v>536</v>
      </c>
      <c r="M2" s="6" t="s">
        <v>537</v>
      </c>
      <c r="N2" s="7" t="s">
        <v>30</v>
      </c>
      <c r="O2" s="7"/>
      <c r="P2" s="7"/>
    </row>
    <row r="3" customFormat="false" ht="22.35" hidden="false" customHeight="false" outlineLevel="0" collapsed="false">
      <c r="A3" s="5" t="s">
        <v>538</v>
      </c>
      <c r="B3" s="6" t="s">
        <v>530</v>
      </c>
      <c r="C3" s="6" t="s">
        <v>531</v>
      </c>
      <c r="D3" s="6" t="s">
        <v>539</v>
      </c>
      <c r="E3" s="6" t="s">
        <v>540</v>
      </c>
      <c r="F3" s="6" t="s">
        <v>25</v>
      </c>
      <c r="G3" s="6" t="s">
        <v>529</v>
      </c>
      <c r="H3" s="6" t="s">
        <v>541</v>
      </c>
      <c r="I3" s="8" t="n">
        <v>1</v>
      </c>
      <c r="J3" s="8" t="n">
        <v>2</v>
      </c>
      <c r="K3" s="9" t="n">
        <f aca="false">AVERAGE(I3:J3)</f>
        <v>1.5</v>
      </c>
      <c r="L3" s="6" t="s">
        <v>542</v>
      </c>
      <c r="M3" s="6" t="s">
        <v>543</v>
      </c>
      <c r="N3" s="7" t="s">
        <v>30</v>
      </c>
      <c r="O3" s="7"/>
      <c r="P3" s="7"/>
    </row>
    <row r="4" customFormat="false" ht="32.8" hidden="false" customHeight="false" outlineLevel="0" collapsed="false">
      <c r="A4" s="5" t="s">
        <v>544</v>
      </c>
      <c r="B4" s="6" t="s">
        <v>545</v>
      </c>
      <c r="C4" s="6" t="s">
        <v>531</v>
      </c>
      <c r="D4" s="6" t="s">
        <v>546</v>
      </c>
      <c r="E4" s="6" t="s">
        <v>547</v>
      </c>
      <c r="F4" s="6" t="s">
        <v>25</v>
      </c>
      <c r="G4" s="6" t="s">
        <v>548</v>
      </c>
      <c r="H4" s="6" t="s">
        <v>549</v>
      </c>
      <c r="I4" s="8" t="n">
        <v>6</v>
      </c>
      <c r="J4" s="8" t="n">
        <v>10</v>
      </c>
      <c r="K4" s="9" t="n">
        <f aca="false">AVERAGE(I4:J4)</f>
        <v>8</v>
      </c>
      <c r="L4" s="6" t="s">
        <v>139</v>
      </c>
      <c r="M4" s="6" t="s">
        <v>550</v>
      </c>
      <c r="N4" s="7" t="s">
        <v>30</v>
      </c>
      <c r="O4" s="7"/>
      <c r="P4" s="7"/>
    </row>
    <row r="5" customFormat="false" ht="22.35" hidden="false" customHeight="false" outlineLevel="0" collapsed="false">
      <c r="A5" s="5" t="s">
        <v>551</v>
      </c>
      <c r="B5" s="6" t="s">
        <v>545</v>
      </c>
      <c r="C5" s="6" t="s">
        <v>531</v>
      </c>
      <c r="D5" s="6" t="s">
        <v>552</v>
      </c>
      <c r="E5" s="6" t="s">
        <v>553</v>
      </c>
      <c r="F5" s="6" t="s">
        <v>25</v>
      </c>
      <c r="G5" s="6" t="s">
        <v>544</v>
      </c>
      <c r="H5" s="6" t="s">
        <v>535</v>
      </c>
      <c r="I5" s="8" t="n">
        <v>3</v>
      </c>
      <c r="J5" s="8" t="n">
        <v>5</v>
      </c>
      <c r="K5" s="9" t="n">
        <f aca="false">AVERAGE(I5:J5)</f>
        <v>4</v>
      </c>
      <c r="L5" s="6" t="s">
        <v>554</v>
      </c>
      <c r="M5" s="6" t="s">
        <v>555</v>
      </c>
      <c r="N5" s="7" t="s">
        <v>30</v>
      </c>
      <c r="O5" s="7"/>
      <c r="P5" s="7"/>
    </row>
    <row r="6" customFormat="false" ht="22.35" hidden="false" customHeight="false" outlineLevel="0" collapsed="false">
      <c r="A6" s="5" t="s">
        <v>556</v>
      </c>
      <c r="B6" s="6" t="s">
        <v>545</v>
      </c>
      <c r="C6" s="6" t="s">
        <v>531</v>
      </c>
      <c r="D6" s="6" t="s">
        <v>557</v>
      </c>
      <c r="E6" s="6" t="s">
        <v>558</v>
      </c>
      <c r="F6" s="6" t="s">
        <v>25</v>
      </c>
      <c r="G6" s="6" t="s">
        <v>226</v>
      </c>
      <c r="H6" s="6" t="s">
        <v>535</v>
      </c>
      <c r="I6" s="8" t="n">
        <v>3</v>
      </c>
      <c r="J6" s="8" t="n">
        <v>5</v>
      </c>
      <c r="K6" s="9" t="n">
        <f aca="false">AVERAGE(I6:J6)</f>
        <v>4</v>
      </c>
      <c r="L6" s="6" t="s">
        <v>226</v>
      </c>
      <c r="M6" s="6" t="s">
        <v>559</v>
      </c>
      <c r="N6" s="7" t="s">
        <v>30</v>
      </c>
      <c r="O6" s="7"/>
      <c r="P6" s="7"/>
    </row>
    <row r="7" customFormat="false" ht="22.35" hidden="false" customHeight="false" outlineLevel="0" collapsed="false">
      <c r="A7" s="5" t="s">
        <v>560</v>
      </c>
      <c r="B7" s="6" t="s">
        <v>545</v>
      </c>
      <c r="C7" s="6" t="s">
        <v>531</v>
      </c>
      <c r="D7" s="6" t="s">
        <v>561</v>
      </c>
      <c r="E7" s="6" t="s">
        <v>562</v>
      </c>
      <c r="F7" s="6" t="s">
        <v>41</v>
      </c>
      <c r="G7" s="6" t="s">
        <v>556</v>
      </c>
      <c r="H7" s="6" t="s">
        <v>535</v>
      </c>
      <c r="I7" s="8" t="n">
        <v>3</v>
      </c>
      <c r="J7" s="8" t="n">
        <v>5</v>
      </c>
      <c r="K7" s="9" t="n">
        <f aca="false">AVERAGE(I7:J7)</f>
        <v>4</v>
      </c>
      <c r="L7" s="6" t="s">
        <v>226</v>
      </c>
      <c r="M7" s="6" t="s">
        <v>563</v>
      </c>
      <c r="N7" s="7" t="s">
        <v>30</v>
      </c>
      <c r="O7" s="7"/>
      <c r="P7" s="7"/>
    </row>
    <row r="8" customFormat="false" ht="32.8" hidden="false" customHeight="false" outlineLevel="0" collapsed="false">
      <c r="A8" s="5" t="s">
        <v>548</v>
      </c>
      <c r="B8" s="6" t="s">
        <v>564</v>
      </c>
      <c r="C8" s="6" t="s">
        <v>531</v>
      </c>
      <c r="D8" s="6" t="s">
        <v>565</v>
      </c>
      <c r="E8" s="6" t="s">
        <v>566</v>
      </c>
      <c r="F8" s="6" t="s">
        <v>25</v>
      </c>
      <c r="G8" s="6" t="s">
        <v>226</v>
      </c>
      <c r="H8" s="6" t="s">
        <v>535</v>
      </c>
      <c r="I8" s="8" t="n">
        <v>3</v>
      </c>
      <c r="J8" s="8" t="n">
        <v>5</v>
      </c>
      <c r="K8" s="9" t="n">
        <f aca="false">AVERAGE(I8:J8)</f>
        <v>4</v>
      </c>
      <c r="L8" s="6" t="s">
        <v>567</v>
      </c>
      <c r="M8" s="6" t="s">
        <v>568</v>
      </c>
      <c r="N8" s="7" t="s">
        <v>30</v>
      </c>
      <c r="O8" s="7"/>
      <c r="P8" s="7"/>
    </row>
    <row r="9" customFormat="false" ht="22.35" hidden="false" customHeight="false" outlineLevel="0" collapsed="false">
      <c r="A9" s="5" t="s">
        <v>569</v>
      </c>
      <c r="B9" s="6" t="s">
        <v>570</v>
      </c>
      <c r="C9" s="6" t="s">
        <v>531</v>
      </c>
      <c r="D9" s="6" t="s">
        <v>571</v>
      </c>
      <c r="E9" s="6" t="s">
        <v>572</v>
      </c>
      <c r="F9" s="6" t="s">
        <v>25</v>
      </c>
      <c r="G9" s="6" t="s">
        <v>544</v>
      </c>
      <c r="H9" s="6" t="s">
        <v>535</v>
      </c>
      <c r="I9" s="8" t="n">
        <v>3</v>
      </c>
      <c r="J9" s="8" t="n">
        <v>5</v>
      </c>
      <c r="K9" s="9" t="n">
        <f aca="false">AVERAGE(I9:J9)</f>
        <v>4</v>
      </c>
      <c r="L9" s="6" t="s">
        <v>573</v>
      </c>
      <c r="M9" s="6" t="s">
        <v>574</v>
      </c>
      <c r="N9" s="7" t="s">
        <v>30</v>
      </c>
      <c r="O9" s="7"/>
      <c r="P9" s="7"/>
    </row>
    <row r="10" customFormat="false" ht="22.35" hidden="false" customHeight="false" outlineLevel="0" collapsed="false">
      <c r="A10" s="5" t="s">
        <v>575</v>
      </c>
      <c r="B10" s="6" t="s">
        <v>576</v>
      </c>
      <c r="C10" s="6" t="s">
        <v>577</v>
      </c>
      <c r="D10" s="6" t="s">
        <v>578</v>
      </c>
      <c r="E10" s="6" t="s">
        <v>579</v>
      </c>
      <c r="F10" s="6" t="s">
        <v>25</v>
      </c>
      <c r="G10" s="6" t="s">
        <v>529</v>
      </c>
      <c r="H10" s="6" t="s">
        <v>541</v>
      </c>
      <c r="I10" s="8" t="n">
        <v>1</v>
      </c>
      <c r="J10" s="8" t="n">
        <v>2</v>
      </c>
      <c r="K10" s="9" t="n">
        <f aca="false">AVERAGE(I10:J10)</f>
        <v>1.5</v>
      </c>
      <c r="L10" s="6" t="s">
        <v>35</v>
      </c>
      <c r="M10" s="6" t="s">
        <v>580</v>
      </c>
      <c r="N10" s="7" t="s">
        <v>30</v>
      </c>
      <c r="O10" s="7"/>
      <c r="P10" s="7"/>
    </row>
    <row r="11" customFormat="false" ht="22.35" hidden="false" customHeight="false" outlineLevel="0" collapsed="false">
      <c r="A11" s="5" t="s">
        <v>581</v>
      </c>
      <c r="B11" s="6" t="s">
        <v>576</v>
      </c>
      <c r="C11" s="6" t="s">
        <v>577</v>
      </c>
      <c r="D11" s="6" t="s">
        <v>582</v>
      </c>
      <c r="E11" s="6" t="s">
        <v>583</v>
      </c>
      <c r="F11" s="6" t="s">
        <v>25</v>
      </c>
      <c r="G11" s="6" t="s">
        <v>575</v>
      </c>
      <c r="H11" s="6" t="s">
        <v>535</v>
      </c>
      <c r="I11" s="8" t="n">
        <v>3</v>
      </c>
      <c r="J11" s="8" t="n">
        <v>5</v>
      </c>
      <c r="K11" s="9" t="n">
        <f aca="false">AVERAGE(I11:J11)</f>
        <v>4</v>
      </c>
      <c r="L11" s="6" t="s">
        <v>584</v>
      </c>
      <c r="M11" s="6" t="s">
        <v>585</v>
      </c>
      <c r="N11" s="7" t="s">
        <v>30</v>
      </c>
      <c r="O11" s="7"/>
      <c r="P11" s="7"/>
    </row>
    <row r="12" customFormat="false" ht="22.35" hidden="false" customHeight="false" outlineLevel="0" collapsed="false">
      <c r="A12" s="5" t="s">
        <v>586</v>
      </c>
      <c r="B12" s="6" t="s">
        <v>576</v>
      </c>
      <c r="C12" s="6" t="s">
        <v>577</v>
      </c>
      <c r="D12" s="6" t="s">
        <v>587</v>
      </c>
      <c r="E12" s="6" t="s">
        <v>588</v>
      </c>
      <c r="F12" s="6" t="s">
        <v>25</v>
      </c>
      <c r="G12" s="6" t="s">
        <v>575</v>
      </c>
      <c r="H12" s="6" t="s">
        <v>535</v>
      </c>
      <c r="I12" s="8" t="n">
        <v>3</v>
      </c>
      <c r="J12" s="8" t="n">
        <v>5</v>
      </c>
      <c r="K12" s="9" t="n">
        <f aca="false">AVERAGE(I12:J12)</f>
        <v>4</v>
      </c>
      <c r="L12" s="6" t="s">
        <v>589</v>
      </c>
      <c r="M12" s="6" t="s">
        <v>590</v>
      </c>
      <c r="N12" s="7" t="s">
        <v>30</v>
      </c>
      <c r="O12" s="7"/>
      <c r="P12" s="7"/>
    </row>
    <row r="13" customFormat="false" ht="15" hidden="false" customHeight="false" outlineLevel="0" collapsed="false">
      <c r="A13" s="5" t="s">
        <v>591</v>
      </c>
      <c r="B13" s="6" t="s">
        <v>576</v>
      </c>
      <c r="C13" s="6" t="s">
        <v>577</v>
      </c>
      <c r="D13" s="6" t="s">
        <v>592</v>
      </c>
      <c r="E13" s="6" t="s">
        <v>593</v>
      </c>
      <c r="F13" s="6" t="s">
        <v>25</v>
      </c>
      <c r="G13" s="6" t="s">
        <v>575</v>
      </c>
      <c r="H13" s="6" t="s">
        <v>535</v>
      </c>
      <c r="I13" s="8" t="n">
        <v>3</v>
      </c>
      <c r="J13" s="8" t="n">
        <v>5</v>
      </c>
      <c r="K13" s="9" t="n">
        <f aca="false">AVERAGE(I13:J13)</f>
        <v>4</v>
      </c>
      <c r="L13" s="6" t="s">
        <v>594</v>
      </c>
      <c r="M13" s="6" t="s">
        <v>595</v>
      </c>
      <c r="N13" s="7" t="s">
        <v>30</v>
      </c>
      <c r="O13" s="7"/>
      <c r="P13" s="7"/>
    </row>
    <row r="14" customFormat="false" ht="22.35" hidden="false" customHeight="false" outlineLevel="0" collapsed="false">
      <c r="A14" s="5" t="s">
        <v>596</v>
      </c>
      <c r="B14" s="6" t="s">
        <v>576</v>
      </c>
      <c r="C14" s="6" t="s">
        <v>577</v>
      </c>
      <c r="D14" s="6" t="s">
        <v>597</v>
      </c>
      <c r="E14" s="6" t="s">
        <v>598</v>
      </c>
      <c r="F14" s="6" t="s">
        <v>25</v>
      </c>
      <c r="G14" s="6" t="s">
        <v>599</v>
      </c>
      <c r="H14" s="6" t="s">
        <v>535</v>
      </c>
      <c r="I14" s="8" t="n">
        <v>3</v>
      </c>
      <c r="J14" s="8" t="n">
        <v>5</v>
      </c>
      <c r="K14" s="9" t="n">
        <f aca="false">AVERAGE(I14:J14)</f>
        <v>4</v>
      </c>
      <c r="L14" s="6" t="s">
        <v>600</v>
      </c>
      <c r="M14" s="6" t="s">
        <v>601</v>
      </c>
      <c r="N14" s="7" t="s">
        <v>30</v>
      </c>
      <c r="O14" s="7"/>
      <c r="P14" s="7"/>
    </row>
    <row r="15" customFormat="false" ht="15" hidden="false" customHeight="false" outlineLevel="0" collapsed="false">
      <c r="A15" s="5" t="s">
        <v>602</v>
      </c>
      <c r="B15" s="6" t="s">
        <v>576</v>
      </c>
      <c r="C15" s="6" t="s">
        <v>577</v>
      </c>
      <c r="D15" s="6" t="s">
        <v>603</v>
      </c>
      <c r="E15" s="6" t="s">
        <v>604</v>
      </c>
      <c r="F15" s="6" t="s">
        <v>25</v>
      </c>
      <c r="G15" s="6" t="s">
        <v>575</v>
      </c>
      <c r="H15" s="6" t="s">
        <v>541</v>
      </c>
      <c r="I15" s="8" t="n">
        <v>1</v>
      </c>
      <c r="J15" s="8" t="n">
        <v>2</v>
      </c>
      <c r="K15" s="9" t="n">
        <f aca="false">AVERAGE(I15:J15)</f>
        <v>1.5</v>
      </c>
      <c r="L15" s="6" t="s">
        <v>605</v>
      </c>
      <c r="M15" s="6" t="s">
        <v>606</v>
      </c>
      <c r="N15" s="7" t="s">
        <v>30</v>
      </c>
      <c r="O15" s="7"/>
      <c r="P15" s="7"/>
    </row>
    <row r="16" customFormat="false" ht="32.8" hidden="false" customHeight="false" outlineLevel="0" collapsed="false">
      <c r="A16" s="5" t="s">
        <v>607</v>
      </c>
      <c r="B16" s="6" t="s">
        <v>608</v>
      </c>
      <c r="C16" s="6" t="s">
        <v>577</v>
      </c>
      <c r="D16" s="6" t="s">
        <v>609</v>
      </c>
      <c r="E16" s="6" t="s">
        <v>610</v>
      </c>
      <c r="F16" s="6" t="s">
        <v>25</v>
      </c>
      <c r="G16" s="6" t="s">
        <v>529</v>
      </c>
      <c r="H16" s="6" t="s">
        <v>549</v>
      </c>
      <c r="I16" s="8" t="n">
        <v>6</v>
      </c>
      <c r="J16" s="8" t="n">
        <v>10</v>
      </c>
      <c r="K16" s="9" t="n">
        <f aca="false">AVERAGE(I16:J16)</f>
        <v>8</v>
      </c>
      <c r="L16" s="6" t="s">
        <v>611</v>
      </c>
      <c r="M16" s="6" t="s">
        <v>612</v>
      </c>
      <c r="N16" s="7" t="s">
        <v>30</v>
      </c>
      <c r="O16" s="7"/>
      <c r="P16" s="7"/>
    </row>
    <row r="17" customFormat="false" ht="22.35" hidden="false" customHeight="false" outlineLevel="0" collapsed="false">
      <c r="A17" s="5" t="s">
        <v>613</v>
      </c>
      <c r="B17" s="6" t="s">
        <v>608</v>
      </c>
      <c r="C17" s="6" t="s">
        <v>577</v>
      </c>
      <c r="D17" s="6" t="s">
        <v>614</v>
      </c>
      <c r="E17" s="6" t="s">
        <v>615</v>
      </c>
      <c r="F17" s="6" t="s">
        <v>25</v>
      </c>
      <c r="G17" s="6" t="s">
        <v>607</v>
      </c>
      <c r="H17" s="6" t="s">
        <v>535</v>
      </c>
      <c r="I17" s="8" t="n">
        <v>3</v>
      </c>
      <c r="J17" s="8" t="n">
        <v>5</v>
      </c>
      <c r="K17" s="9" t="n">
        <f aca="false">AVERAGE(I17:J17)</f>
        <v>4</v>
      </c>
      <c r="L17" s="6" t="s">
        <v>31</v>
      </c>
      <c r="M17" s="6" t="s">
        <v>616</v>
      </c>
      <c r="N17" s="7" t="s">
        <v>30</v>
      </c>
      <c r="O17" s="7"/>
      <c r="P17" s="7"/>
    </row>
    <row r="18" customFormat="false" ht="22.35" hidden="false" customHeight="false" outlineLevel="0" collapsed="false">
      <c r="A18" s="5" t="s">
        <v>617</v>
      </c>
      <c r="B18" s="6" t="s">
        <v>608</v>
      </c>
      <c r="C18" s="6" t="s">
        <v>577</v>
      </c>
      <c r="D18" s="6" t="s">
        <v>618</v>
      </c>
      <c r="E18" s="6" t="s">
        <v>619</v>
      </c>
      <c r="F18" s="6" t="s">
        <v>25</v>
      </c>
      <c r="G18" s="6" t="s">
        <v>620</v>
      </c>
      <c r="H18" s="6" t="s">
        <v>541</v>
      </c>
      <c r="I18" s="8" t="n">
        <v>1</v>
      </c>
      <c r="J18" s="8" t="n">
        <v>2</v>
      </c>
      <c r="K18" s="9" t="n">
        <f aca="false">AVERAGE(I18:J18)</f>
        <v>1.5</v>
      </c>
      <c r="L18" s="6" t="s">
        <v>621</v>
      </c>
      <c r="M18" s="6" t="s">
        <v>622</v>
      </c>
      <c r="N18" s="7" t="s">
        <v>30</v>
      </c>
      <c r="O18" s="7"/>
      <c r="P18" s="7"/>
    </row>
    <row r="19" customFormat="false" ht="22.35" hidden="false" customHeight="false" outlineLevel="0" collapsed="false">
      <c r="A19" s="5" t="s">
        <v>623</v>
      </c>
      <c r="B19" s="6" t="s">
        <v>624</v>
      </c>
      <c r="C19" s="6" t="s">
        <v>577</v>
      </c>
      <c r="D19" s="6" t="s">
        <v>625</v>
      </c>
      <c r="E19" s="6" t="s">
        <v>626</v>
      </c>
      <c r="F19" s="6" t="s">
        <v>25</v>
      </c>
      <c r="G19" s="6" t="s">
        <v>627</v>
      </c>
      <c r="H19" s="6" t="s">
        <v>535</v>
      </c>
      <c r="I19" s="8" t="n">
        <v>3</v>
      </c>
      <c r="J19" s="8" t="n">
        <v>5</v>
      </c>
      <c r="K19" s="9" t="n">
        <f aca="false">AVERAGE(I19:J19)</f>
        <v>4</v>
      </c>
      <c r="L19" s="6" t="s">
        <v>23</v>
      </c>
      <c r="M19" s="6" t="s">
        <v>628</v>
      </c>
      <c r="N19" s="7" t="s">
        <v>30</v>
      </c>
      <c r="O19" s="7"/>
      <c r="P19" s="7"/>
    </row>
    <row r="20" customFormat="false" ht="22.35" hidden="false" customHeight="false" outlineLevel="0" collapsed="false">
      <c r="A20" s="5" t="s">
        <v>629</v>
      </c>
      <c r="B20" s="6" t="s">
        <v>624</v>
      </c>
      <c r="C20" s="6" t="s">
        <v>577</v>
      </c>
      <c r="D20" s="6" t="s">
        <v>630</v>
      </c>
      <c r="E20" s="6" t="s">
        <v>631</v>
      </c>
      <c r="F20" s="6" t="s">
        <v>25</v>
      </c>
      <c r="G20" s="6" t="s">
        <v>623</v>
      </c>
      <c r="H20" s="6" t="s">
        <v>535</v>
      </c>
      <c r="I20" s="8" t="n">
        <v>3</v>
      </c>
      <c r="J20" s="8" t="n">
        <v>5</v>
      </c>
      <c r="K20" s="9" t="n">
        <f aca="false">AVERAGE(I20:J20)</f>
        <v>4</v>
      </c>
      <c r="L20" s="6" t="s">
        <v>632</v>
      </c>
      <c r="M20" s="6" t="s">
        <v>633</v>
      </c>
      <c r="N20" s="7" t="s">
        <v>30</v>
      </c>
      <c r="O20" s="7"/>
      <c r="P20" s="7"/>
    </row>
    <row r="21" customFormat="false" ht="22.35" hidden="false" customHeight="false" outlineLevel="0" collapsed="false">
      <c r="A21" s="5" t="s">
        <v>634</v>
      </c>
      <c r="B21" s="6" t="s">
        <v>624</v>
      </c>
      <c r="C21" s="6" t="s">
        <v>577</v>
      </c>
      <c r="D21" s="6" t="s">
        <v>635</v>
      </c>
      <c r="E21" s="6" t="s">
        <v>636</v>
      </c>
      <c r="F21" s="6" t="s">
        <v>25</v>
      </c>
      <c r="G21" s="6" t="s">
        <v>637</v>
      </c>
      <c r="H21" s="6" t="s">
        <v>549</v>
      </c>
      <c r="I21" s="8" t="n">
        <v>6</v>
      </c>
      <c r="J21" s="8" t="n">
        <v>10</v>
      </c>
      <c r="K21" s="9" t="n">
        <f aca="false">AVERAGE(I21:J21)</f>
        <v>8</v>
      </c>
      <c r="L21" s="6" t="s">
        <v>589</v>
      </c>
      <c r="M21" s="6" t="s">
        <v>638</v>
      </c>
      <c r="N21" s="7" t="s">
        <v>30</v>
      </c>
      <c r="O21" s="7"/>
      <c r="P21" s="7"/>
    </row>
    <row r="22" customFormat="false" ht="22.35" hidden="false" customHeight="false" outlineLevel="0" collapsed="false">
      <c r="A22" s="5" t="s">
        <v>639</v>
      </c>
      <c r="B22" s="6" t="s">
        <v>624</v>
      </c>
      <c r="C22" s="6" t="s">
        <v>577</v>
      </c>
      <c r="D22" s="6" t="s">
        <v>640</v>
      </c>
      <c r="E22" s="6" t="s">
        <v>641</v>
      </c>
      <c r="F22" s="6" t="s">
        <v>25</v>
      </c>
      <c r="G22" s="6" t="s">
        <v>634</v>
      </c>
      <c r="H22" s="6" t="s">
        <v>535</v>
      </c>
      <c r="I22" s="8" t="n">
        <v>3</v>
      </c>
      <c r="J22" s="8" t="n">
        <v>5</v>
      </c>
      <c r="K22" s="9" t="n">
        <f aca="false">AVERAGE(I22:J22)</f>
        <v>4</v>
      </c>
      <c r="L22" s="6" t="s">
        <v>642</v>
      </c>
      <c r="M22" s="6" t="s">
        <v>643</v>
      </c>
      <c r="N22" s="7" t="s">
        <v>30</v>
      </c>
      <c r="O22" s="7"/>
      <c r="P22" s="7"/>
    </row>
    <row r="23" customFormat="false" ht="22.35" hidden="false" customHeight="false" outlineLevel="0" collapsed="false">
      <c r="A23" s="5" t="s">
        <v>644</v>
      </c>
      <c r="B23" s="6" t="s">
        <v>624</v>
      </c>
      <c r="C23" s="6" t="s">
        <v>577</v>
      </c>
      <c r="D23" s="6" t="s">
        <v>645</v>
      </c>
      <c r="E23" s="6" t="s">
        <v>646</v>
      </c>
      <c r="F23" s="6" t="s">
        <v>25</v>
      </c>
      <c r="G23" s="6" t="s">
        <v>637</v>
      </c>
      <c r="H23" s="6" t="s">
        <v>535</v>
      </c>
      <c r="I23" s="8" t="n">
        <v>3</v>
      </c>
      <c r="J23" s="8" t="n">
        <v>5</v>
      </c>
      <c r="K23" s="9" t="n">
        <f aca="false">AVERAGE(I23:J23)</f>
        <v>4</v>
      </c>
      <c r="L23" s="6" t="s">
        <v>605</v>
      </c>
      <c r="M23" s="6" t="s">
        <v>647</v>
      </c>
      <c r="N23" s="7" t="s">
        <v>30</v>
      </c>
      <c r="O23" s="7"/>
      <c r="P23" s="7"/>
    </row>
    <row r="24" customFormat="false" ht="15" hidden="false" customHeight="false" outlineLevel="0" collapsed="false">
      <c r="A24" s="5" t="s">
        <v>648</v>
      </c>
      <c r="B24" s="6" t="s">
        <v>624</v>
      </c>
      <c r="C24" s="6" t="s">
        <v>577</v>
      </c>
      <c r="D24" s="6" t="s">
        <v>649</v>
      </c>
      <c r="E24" s="6" t="s">
        <v>650</v>
      </c>
      <c r="F24" s="6" t="s">
        <v>25</v>
      </c>
      <c r="G24" s="6" t="s">
        <v>607</v>
      </c>
      <c r="H24" s="6" t="s">
        <v>535</v>
      </c>
      <c r="I24" s="8" t="n">
        <v>3</v>
      </c>
      <c r="J24" s="8" t="n">
        <v>5</v>
      </c>
      <c r="K24" s="9" t="n">
        <f aca="false">AVERAGE(I24:J24)</f>
        <v>4</v>
      </c>
      <c r="L24" s="6" t="s">
        <v>651</v>
      </c>
      <c r="M24" s="6" t="s">
        <v>652</v>
      </c>
      <c r="N24" s="7" t="s">
        <v>30</v>
      </c>
      <c r="O24" s="7"/>
      <c r="P24" s="7"/>
    </row>
    <row r="25" customFormat="false" ht="15" hidden="false" customHeight="false" outlineLevel="0" collapsed="false">
      <c r="A25" s="5" t="s">
        <v>653</v>
      </c>
      <c r="B25" s="6" t="s">
        <v>624</v>
      </c>
      <c r="C25" s="6" t="s">
        <v>577</v>
      </c>
      <c r="D25" s="6" t="s">
        <v>654</v>
      </c>
      <c r="E25" s="6" t="s">
        <v>655</v>
      </c>
      <c r="F25" s="6" t="s">
        <v>25</v>
      </c>
      <c r="G25" s="6" t="s">
        <v>607</v>
      </c>
      <c r="H25" s="6" t="s">
        <v>541</v>
      </c>
      <c r="I25" s="8" t="n">
        <v>1</v>
      </c>
      <c r="J25" s="8" t="n">
        <v>2</v>
      </c>
      <c r="K25" s="9" t="n">
        <f aca="false">AVERAGE(I25:J25)</f>
        <v>1.5</v>
      </c>
      <c r="L25" s="6" t="s">
        <v>656</v>
      </c>
      <c r="M25" s="6" t="s">
        <v>657</v>
      </c>
      <c r="N25" s="7" t="s">
        <v>30</v>
      </c>
      <c r="O25" s="7"/>
      <c r="P25" s="7"/>
    </row>
    <row r="26" customFormat="false" ht="15" hidden="false" customHeight="false" outlineLevel="0" collapsed="false">
      <c r="A26" s="5" t="s">
        <v>658</v>
      </c>
      <c r="B26" s="6" t="s">
        <v>624</v>
      </c>
      <c r="C26" s="6" t="s">
        <v>577</v>
      </c>
      <c r="D26" s="6" t="s">
        <v>659</v>
      </c>
      <c r="E26" s="6" t="s">
        <v>660</v>
      </c>
      <c r="F26" s="6" t="s">
        <v>25</v>
      </c>
      <c r="G26" s="6" t="s">
        <v>623</v>
      </c>
      <c r="H26" s="6" t="s">
        <v>541</v>
      </c>
      <c r="I26" s="8" t="n">
        <v>1</v>
      </c>
      <c r="J26" s="8" t="n">
        <v>2</v>
      </c>
      <c r="K26" s="9" t="n">
        <f aca="false">AVERAGE(I26:J26)</f>
        <v>1.5</v>
      </c>
      <c r="L26" s="6" t="s">
        <v>511</v>
      </c>
      <c r="M26" s="6" t="s">
        <v>661</v>
      </c>
      <c r="N26" s="7" t="s">
        <v>30</v>
      </c>
      <c r="O26" s="7"/>
      <c r="P26" s="7"/>
    </row>
    <row r="27" customFormat="false" ht="22.35" hidden="false" customHeight="false" outlineLevel="0" collapsed="false">
      <c r="A27" s="5" t="s">
        <v>662</v>
      </c>
      <c r="B27" s="6" t="s">
        <v>624</v>
      </c>
      <c r="C27" s="6" t="s">
        <v>577</v>
      </c>
      <c r="D27" s="6" t="s">
        <v>663</v>
      </c>
      <c r="E27" s="6" t="s">
        <v>664</v>
      </c>
      <c r="F27" s="6" t="s">
        <v>41</v>
      </c>
      <c r="G27" s="6" t="s">
        <v>634</v>
      </c>
      <c r="H27" s="6" t="s">
        <v>535</v>
      </c>
      <c r="I27" s="8" t="n">
        <v>3</v>
      </c>
      <c r="J27" s="8" t="n">
        <v>5</v>
      </c>
      <c r="K27" s="9" t="n">
        <f aca="false">AVERAGE(I27:J27)</f>
        <v>4</v>
      </c>
      <c r="L27" s="6" t="s">
        <v>665</v>
      </c>
      <c r="M27" s="6" t="s">
        <v>666</v>
      </c>
      <c r="N27" s="7" t="s">
        <v>30</v>
      </c>
      <c r="O27" s="7"/>
      <c r="P27" s="7"/>
    </row>
    <row r="28" customFormat="false" ht="15" hidden="false" customHeight="false" outlineLevel="0" collapsed="false">
      <c r="A28" s="5" t="s">
        <v>667</v>
      </c>
      <c r="B28" s="6" t="s">
        <v>668</v>
      </c>
      <c r="C28" s="6" t="s">
        <v>577</v>
      </c>
      <c r="D28" s="6" t="s">
        <v>669</v>
      </c>
      <c r="E28" s="6" t="s">
        <v>670</v>
      </c>
      <c r="F28" s="6" t="s">
        <v>25</v>
      </c>
      <c r="G28" s="6" t="s">
        <v>671</v>
      </c>
      <c r="H28" s="6" t="s">
        <v>535</v>
      </c>
      <c r="I28" s="8" t="n">
        <v>3</v>
      </c>
      <c r="J28" s="8" t="n">
        <v>5</v>
      </c>
      <c r="K28" s="9" t="n">
        <f aca="false">AVERAGE(I28:J28)</f>
        <v>4</v>
      </c>
      <c r="L28" s="6" t="s">
        <v>672</v>
      </c>
      <c r="M28" s="6" t="s">
        <v>673</v>
      </c>
      <c r="N28" s="7" t="s">
        <v>30</v>
      </c>
      <c r="O28" s="7"/>
      <c r="P28" s="7"/>
    </row>
    <row r="29" customFormat="false" ht="15" hidden="false" customHeight="false" outlineLevel="0" collapsed="false">
      <c r="A29" s="5" t="s">
        <v>674</v>
      </c>
      <c r="B29" s="6" t="s">
        <v>668</v>
      </c>
      <c r="C29" s="6" t="s">
        <v>577</v>
      </c>
      <c r="D29" s="6" t="s">
        <v>675</v>
      </c>
      <c r="E29" s="6" t="s">
        <v>676</v>
      </c>
      <c r="F29" s="6" t="s">
        <v>25</v>
      </c>
      <c r="G29" s="6" t="s">
        <v>677</v>
      </c>
      <c r="H29" s="6" t="s">
        <v>535</v>
      </c>
      <c r="I29" s="8" t="n">
        <v>3</v>
      </c>
      <c r="J29" s="8" t="n">
        <v>5</v>
      </c>
      <c r="K29" s="9" t="n">
        <f aca="false">AVERAGE(I29:J29)</f>
        <v>4</v>
      </c>
      <c r="L29" s="6" t="s">
        <v>678</v>
      </c>
      <c r="M29" s="6" t="s">
        <v>679</v>
      </c>
      <c r="N29" s="7" t="s">
        <v>30</v>
      </c>
      <c r="O29" s="7"/>
      <c r="P29" s="7"/>
    </row>
    <row r="30" customFormat="false" ht="22.35" hidden="false" customHeight="false" outlineLevel="0" collapsed="false">
      <c r="A30" s="5" t="s">
        <v>680</v>
      </c>
      <c r="B30" s="6" t="s">
        <v>668</v>
      </c>
      <c r="C30" s="6" t="s">
        <v>577</v>
      </c>
      <c r="D30" s="6" t="s">
        <v>681</v>
      </c>
      <c r="E30" s="6" t="s">
        <v>682</v>
      </c>
      <c r="F30" s="6" t="s">
        <v>25</v>
      </c>
      <c r="G30" s="6" t="s">
        <v>683</v>
      </c>
      <c r="H30" s="6" t="s">
        <v>549</v>
      </c>
      <c r="I30" s="8" t="n">
        <v>6</v>
      </c>
      <c r="J30" s="8" t="n">
        <v>10</v>
      </c>
      <c r="K30" s="9" t="n">
        <f aca="false">AVERAGE(I30:J30)</f>
        <v>8</v>
      </c>
      <c r="L30" s="6" t="s">
        <v>684</v>
      </c>
      <c r="M30" s="6" t="s">
        <v>685</v>
      </c>
      <c r="N30" s="7" t="s">
        <v>30</v>
      </c>
      <c r="O30" s="7"/>
      <c r="P30" s="7"/>
    </row>
    <row r="31" customFormat="false" ht="15" hidden="false" customHeight="false" outlineLevel="0" collapsed="false">
      <c r="A31" s="5" t="s">
        <v>686</v>
      </c>
      <c r="B31" s="6" t="s">
        <v>668</v>
      </c>
      <c r="C31" s="6" t="s">
        <v>577</v>
      </c>
      <c r="D31" s="6" t="s">
        <v>687</v>
      </c>
      <c r="E31" s="6" t="s">
        <v>688</v>
      </c>
      <c r="F31" s="6" t="s">
        <v>25</v>
      </c>
      <c r="G31" s="6" t="s">
        <v>683</v>
      </c>
      <c r="H31" s="6" t="s">
        <v>535</v>
      </c>
      <c r="I31" s="8" t="n">
        <v>3</v>
      </c>
      <c r="J31" s="8" t="n">
        <v>5</v>
      </c>
      <c r="K31" s="9" t="n">
        <f aca="false">AVERAGE(I31:J31)</f>
        <v>4</v>
      </c>
      <c r="L31" s="6" t="s">
        <v>689</v>
      </c>
      <c r="M31" s="6" t="s">
        <v>690</v>
      </c>
      <c r="N31" s="7" t="s">
        <v>30</v>
      </c>
      <c r="O31" s="7"/>
      <c r="P31" s="7"/>
    </row>
    <row r="32" customFormat="false" ht="22.35" hidden="false" customHeight="false" outlineLevel="0" collapsed="false">
      <c r="A32" s="5" t="s">
        <v>691</v>
      </c>
      <c r="B32" s="6" t="s">
        <v>668</v>
      </c>
      <c r="C32" s="6" t="s">
        <v>577</v>
      </c>
      <c r="D32" s="6" t="s">
        <v>592</v>
      </c>
      <c r="E32" s="6" t="s">
        <v>692</v>
      </c>
      <c r="F32" s="6" t="s">
        <v>25</v>
      </c>
      <c r="G32" s="6" t="s">
        <v>693</v>
      </c>
      <c r="H32" s="6" t="s">
        <v>549</v>
      </c>
      <c r="I32" s="8" t="n">
        <v>6</v>
      </c>
      <c r="J32" s="8" t="n">
        <v>10</v>
      </c>
      <c r="K32" s="9" t="n">
        <f aca="false">AVERAGE(I32:J32)</f>
        <v>8</v>
      </c>
      <c r="L32" s="6" t="s">
        <v>694</v>
      </c>
      <c r="M32" s="6" t="s">
        <v>695</v>
      </c>
      <c r="N32" s="7" t="s">
        <v>30</v>
      </c>
      <c r="O32" s="7"/>
      <c r="P32" s="7"/>
    </row>
    <row r="33" customFormat="false" ht="22.35" hidden="false" customHeight="false" outlineLevel="0" collapsed="false">
      <c r="A33" s="5" t="s">
        <v>696</v>
      </c>
      <c r="B33" s="6" t="s">
        <v>668</v>
      </c>
      <c r="C33" s="6" t="s">
        <v>577</v>
      </c>
      <c r="D33" s="6" t="s">
        <v>697</v>
      </c>
      <c r="E33" s="6" t="s">
        <v>698</v>
      </c>
      <c r="F33" s="6" t="s">
        <v>25</v>
      </c>
      <c r="G33" s="6" t="s">
        <v>648</v>
      </c>
      <c r="H33" s="6" t="s">
        <v>535</v>
      </c>
      <c r="I33" s="8" t="n">
        <v>3</v>
      </c>
      <c r="J33" s="8" t="n">
        <v>5</v>
      </c>
      <c r="K33" s="9" t="n">
        <f aca="false">AVERAGE(I33:J33)</f>
        <v>4</v>
      </c>
      <c r="L33" s="6" t="s">
        <v>699</v>
      </c>
      <c r="M33" s="6" t="s">
        <v>700</v>
      </c>
      <c r="N33" s="7" t="s">
        <v>30</v>
      </c>
      <c r="O33" s="7"/>
      <c r="P33" s="7"/>
    </row>
    <row r="34" customFormat="false" ht="15" hidden="false" customHeight="false" outlineLevel="0" collapsed="false">
      <c r="A34" s="5" t="s">
        <v>701</v>
      </c>
      <c r="B34" s="6" t="s">
        <v>668</v>
      </c>
      <c r="C34" s="6" t="s">
        <v>577</v>
      </c>
      <c r="D34" s="6" t="s">
        <v>702</v>
      </c>
      <c r="E34" s="6" t="s">
        <v>703</v>
      </c>
      <c r="F34" s="6" t="s">
        <v>25</v>
      </c>
      <c r="G34" s="6" t="s">
        <v>704</v>
      </c>
      <c r="H34" s="6" t="s">
        <v>535</v>
      </c>
      <c r="I34" s="8" t="n">
        <v>3</v>
      </c>
      <c r="J34" s="8" t="n">
        <v>5</v>
      </c>
      <c r="K34" s="9" t="n">
        <f aca="false">AVERAGE(I34:J34)</f>
        <v>4</v>
      </c>
      <c r="L34" s="6" t="s">
        <v>605</v>
      </c>
      <c r="M34" s="6" t="s">
        <v>705</v>
      </c>
      <c r="N34" s="7" t="s">
        <v>30</v>
      </c>
      <c r="O34" s="7"/>
      <c r="P34" s="7"/>
    </row>
    <row r="35" customFormat="false" ht="15" hidden="false" customHeight="false" outlineLevel="0" collapsed="false">
      <c r="A35" s="5" t="s">
        <v>706</v>
      </c>
      <c r="B35" s="6" t="s">
        <v>564</v>
      </c>
      <c r="C35" s="6" t="s">
        <v>577</v>
      </c>
      <c r="D35" s="6" t="s">
        <v>707</v>
      </c>
      <c r="E35" s="6" t="s">
        <v>708</v>
      </c>
      <c r="F35" s="6" t="s">
        <v>25</v>
      </c>
      <c r="G35" s="6" t="s">
        <v>634</v>
      </c>
      <c r="H35" s="6" t="s">
        <v>541</v>
      </c>
      <c r="I35" s="8" t="n">
        <v>1</v>
      </c>
      <c r="J35" s="8" t="n">
        <v>2</v>
      </c>
      <c r="K35" s="9" t="n">
        <f aca="false">AVERAGE(I35:J35)</f>
        <v>1.5</v>
      </c>
      <c r="L35" s="6" t="s">
        <v>709</v>
      </c>
      <c r="M35" s="6" t="s">
        <v>710</v>
      </c>
      <c r="N35" s="7" t="s">
        <v>30</v>
      </c>
      <c r="O35" s="7"/>
      <c r="P35" s="7"/>
    </row>
    <row r="36" customFormat="false" ht="15" hidden="false" customHeight="false" outlineLevel="0" collapsed="false">
      <c r="A36" s="5" t="s">
        <v>711</v>
      </c>
      <c r="B36" s="6" t="s">
        <v>564</v>
      </c>
      <c r="C36" s="6" t="s">
        <v>577</v>
      </c>
      <c r="D36" s="6" t="s">
        <v>712</v>
      </c>
      <c r="E36" s="6" t="s">
        <v>713</v>
      </c>
      <c r="F36" s="6" t="s">
        <v>25</v>
      </c>
      <c r="G36" s="6" t="s">
        <v>714</v>
      </c>
      <c r="H36" s="6" t="s">
        <v>535</v>
      </c>
      <c r="I36" s="8" t="n">
        <v>3</v>
      </c>
      <c r="J36" s="8" t="n">
        <v>5</v>
      </c>
      <c r="K36" s="9" t="n">
        <f aca="false">AVERAGE(I36:J36)</f>
        <v>4</v>
      </c>
      <c r="L36" s="6" t="s">
        <v>31</v>
      </c>
      <c r="M36" s="6" t="s">
        <v>715</v>
      </c>
      <c r="N36" s="7" t="s">
        <v>30</v>
      </c>
      <c r="O36" s="7"/>
      <c r="P36" s="7"/>
    </row>
    <row r="37" customFormat="false" ht="15" hidden="false" customHeight="false" outlineLevel="0" collapsed="false">
      <c r="A37" s="5" t="s">
        <v>716</v>
      </c>
      <c r="B37" s="6" t="s">
        <v>717</v>
      </c>
      <c r="C37" s="6" t="s">
        <v>577</v>
      </c>
      <c r="D37" s="6" t="s">
        <v>718</v>
      </c>
      <c r="E37" s="6" t="s">
        <v>719</v>
      </c>
      <c r="F37" s="6" t="s">
        <v>25</v>
      </c>
      <c r="G37" s="6" t="s">
        <v>617</v>
      </c>
      <c r="H37" s="6" t="s">
        <v>541</v>
      </c>
      <c r="I37" s="8" t="n">
        <v>1</v>
      </c>
      <c r="J37" s="8" t="n">
        <v>2</v>
      </c>
      <c r="K37" s="9" t="n">
        <f aca="false">AVERAGE(I37:J37)</f>
        <v>1.5</v>
      </c>
      <c r="L37" s="6" t="s">
        <v>178</v>
      </c>
      <c r="M37" s="6" t="s">
        <v>720</v>
      </c>
      <c r="N37" s="7" t="s">
        <v>30</v>
      </c>
      <c r="O37" s="7"/>
      <c r="P37" s="7"/>
    </row>
    <row r="38" customFormat="false" ht="22.35" hidden="false" customHeight="false" outlineLevel="0" collapsed="false">
      <c r="A38" s="5" t="s">
        <v>721</v>
      </c>
      <c r="B38" s="6" t="s">
        <v>717</v>
      </c>
      <c r="C38" s="6" t="s">
        <v>577</v>
      </c>
      <c r="D38" s="6" t="s">
        <v>722</v>
      </c>
      <c r="E38" s="6" t="s">
        <v>723</v>
      </c>
      <c r="F38" s="6" t="s">
        <v>25</v>
      </c>
      <c r="G38" s="6" t="s">
        <v>724</v>
      </c>
      <c r="H38" s="6" t="s">
        <v>549</v>
      </c>
      <c r="I38" s="8" t="n">
        <v>6</v>
      </c>
      <c r="J38" s="8" t="n">
        <v>10</v>
      </c>
      <c r="K38" s="9" t="n">
        <f aca="false">AVERAGE(I38:J38)</f>
        <v>8</v>
      </c>
      <c r="L38" s="6" t="s">
        <v>725</v>
      </c>
      <c r="M38" s="6" t="s">
        <v>726</v>
      </c>
      <c r="N38" s="7" t="s">
        <v>30</v>
      </c>
      <c r="O38" s="7"/>
      <c r="P38" s="7"/>
    </row>
    <row r="39" customFormat="false" ht="22.35" hidden="false" customHeight="false" outlineLevel="0" collapsed="false">
      <c r="A39" s="5" t="s">
        <v>727</v>
      </c>
      <c r="B39" s="6" t="s">
        <v>717</v>
      </c>
      <c r="C39" s="6" t="s">
        <v>577</v>
      </c>
      <c r="D39" s="6" t="s">
        <v>728</v>
      </c>
      <c r="E39" s="6" t="s">
        <v>729</v>
      </c>
      <c r="F39" s="6" t="s">
        <v>25</v>
      </c>
      <c r="G39" s="6" t="s">
        <v>691</v>
      </c>
      <c r="H39" s="6" t="s">
        <v>535</v>
      </c>
      <c r="I39" s="8" t="n">
        <v>3</v>
      </c>
      <c r="J39" s="8" t="n">
        <v>5</v>
      </c>
      <c r="K39" s="9" t="n">
        <f aca="false">AVERAGE(I39:J39)</f>
        <v>4</v>
      </c>
      <c r="L39" s="6" t="s">
        <v>730</v>
      </c>
      <c r="M39" s="6" t="s">
        <v>731</v>
      </c>
      <c r="N39" s="7" t="s">
        <v>30</v>
      </c>
      <c r="O39" s="7"/>
      <c r="P39" s="7"/>
    </row>
    <row r="40" customFormat="false" ht="15" hidden="false" customHeight="false" outlineLevel="0" collapsed="false">
      <c r="A40" s="5" t="s">
        <v>732</v>
      </c>
      <c r="B40" s="6" t="s">
        <v>717</v>
      </c>
      <c r="C40" s="6" t="s">
        <v>577</v>
      </c>
      <c r="D40" s="6" t="s">
        <v>733</v>
      </c>
      <c r="E40" s="6" t="s">
        <v>734</v>
      </c>
      <c r="F40" s="6" t="s">
        <v>25</v>
      </c>
      <c r="G40" s="6" t="s">
        <v>721</v>
      </c>
      <c r="H40" s="6" t="s">
        <v>535</v>
      </c>
      <c r="I40" s="8" t="n">
        <v>3</v>
      </c>
      <c r="J40" s="8" t="n">
        <v>5</v>
      </c>
      <c r="K40" s="9" t="n">
        <f aca="false">AVERAGE(I40:J40)</f>
        <v>4</v>
      </c>
      <c r="L40" s="6" t="s">
        <v>725</v>
      </c>
      <c r="M40" s="6" t="s">
        <v>735</v>
      </c>
      <c r="N40" s="7" t="s">
        <v>30</v>
      </c>
      <c r="O40" s="7"/>
      <c r="P40" s="7"/>
    </row>
    <row r="41" customFormat="false" ht="22.35" hidden="false" customHeight="false" outlineLevel="0" collapsed="false">
      <c r="A41" s="5" t="s">
        <v>736</v>
      </c>
      <c r="B41" s="6" t="s">
        <v>737</v>
      </c>
      <c r="C41" s="6" t="s">
        <v>577</v>
      </c>
      <c r="D41" s="6" t="s">
        <v>738</v>
      </c>
      <c r="E41" s="6" t="s">
        <v>739</v>
      </c>
      <c r="F41" s="6" t="s">
        <v>25</v>
      </c>
      <c r="G41" s="6" t="s">
        <v>529</v>
      </c>
      <c r="H41" s="6" t="s">
        <v>535</v>
      </c>
      <c r="I41" s="8" t="n">
        <v>3</v>
      </c>
      <c r="J41" s="8" t="n">
        <v>5</v>
      </c>
      <c r="K41" s="9" t="n">
        <f aca="false">AVERAGE(I41:J41)</f>
        <v>4</v>
      </c>
      <c r="L41" s="6" t="s">
        <v>226</v>
      </c>
      <c r="M41" s="6" t="s">
        <v>740</v>
      </c>
      <c r="N41" s="7" t="s">
        <v>30</v>
      </c>
      <c r="O41" s="7"/>
      <c r="P41" s="7"/>
    </row>
    <row r="42" customFormat="false" ht="22.35" hidden="false" customHeight="false" outlineLevel="0" collapsed="false">
      <c r="A42" s="5" t="s">
        <v>741</v>
      </c>
      <c r="B42" s="6" t="s">
        <v>737</v>
      </c>
      <c r="C42" s="6" t="s">
        <v>577</v>
      </c>
      <c r="D42" s="6" t="s">
        <v>742</v>
      </c>
      <c r="E42" s="6" t="s">
        <v>743</v>
      </c>
      <c r="F42" s="6" t="s">
        <v>25</v>
      </c>
      <c r="G42" s="6" t="s">
        <v>736</v>
      </c>
      <c r="H42" s="6" t="s">
        <v>541</v>
      </c>
      <c r="I42" s="8" t="n">
        <v>1</v>
      </c>
      <c r="J42" s="8" t="n">
        <v>2</v>
      </c>
      <c r="K42" s="9" t="n">
        <f aca="false">AVERAGE(I42:J42)</f>
        <v>1.5</v>
      </c>
      <c r="L42" s="6" t="s">
        <v>744</v>
      </c>
      <c r="M42" s="6" t="s">
        <v>745</v>
      </c>
      <c r="N42" s="7" t="s">
        <v>30</v>
      </c>
      <c r="O42" s="7"/>
      <c r="P42" s="7"/>
    </row>
    <row r="43" customFormat="false" ht="15" hidden="false" customHeight="false" outlineLevel="0" collapsed="false">
      <c r="A43" s="5" t="s">
        <v>746</v>
      </c>
      <c r="B43" s="6" t="s">
        <v>737</v>
      </c>
      <c r="C43" s="6" t="s">
        <v>577</v>
      </c>
      <c r="D43" s="6" t="s">
        <v>747</v>
      </c>
      <c r="E43" s="6" t="s">
        <v>748</v>
      </c>
      <c r="F43" s="6" t="s">
        <v>25</v>
      </c>
      <c r="G43" s="6" t="s">
        <v>607</v>
      </c>
      <c r="H43" s="6" t="s">
        <v>541</v>
      </c>
      <c r="I43" s="8" t="n">
        <v>1</v>
      </c>
      <c r="J43" s="8" t="n">
        <v>2</v>
      </c>
      <c r="K43" s="9" t="n">
        <f aca="false">AVERAGE(I43:J43)</f>
        <v>1.5</v>
      </c>
      <c r="L43" s="6" t="s">
        <v>749</v>
      </c>
      <c r="M43" s="6" t="s">
        <v>750</v>
      </c>
      <c r="N43" s="7" t="s">
        <v>30</v>
      </c>
      <c r="O43" s="7"/>
      <c r="P43" s="7"/>
    </row>
    <row r="44" customFormat="false" ht="22.35" hidden="false" customHeight="false" outlineLevel="0" collapsed="false">
      <c r="A44" s="5" t="s">
        <v>751</v>
      </c>
      <c r="B44" s="6" t="s">
        <v>752</v>
      </c>
      <c r="C44" s="6" t="s">
        <v>577</v>
      </c>
      <c r="D44" s="6" t="s">
        <v>753</v>
      </c>
      <c r="E44" s="6" t="s">
        <v>754</v>
      </c>
      <c r="F44" s="6" t="s">
        <v>25</v>
      </c>
      <c r="G44" s="6" t="s">
        <v>667</v>
      </c>
      <c r="H44" s="6" t="s">
        <v>535</v>
      </c>
      <c r="I44" s="8" t="n">
        <v>3</v>
      </c>
      <c r="J44" s="8" t="n">
        <v>5</v>
      </c>
      <c r="K44" s="9" t="n">
        <f aca="false">AVERAGE(I44:J44)</f>
        <v>4</v>
      </c>
      <c r="L44" s="6" t="s">
        <v>226</v>
      </c>
      <c r="M44" s="6" t="s">
        <v>755</v>
      </c>
      <c r="N44" s="7" t="s">
        <v>30</v>
      </c>
      <c r="O44" s="7"/>
      <c r="P44" s="7"/>
    </row>
    <row r="45" customFormat="false" ht="15" hidden="false" customHeight="false" outlineLevel="0" collapsed="false">
      <c r="A45" s="5" t="s">
        <v>756</v>
      </c>
      <c r="B45" s="6" t="s">
        <v>752</v>
      </c>
      <c r="C45" s="6" t="s">
        <v>577</v>
      </c>
      <c r="D45" s="6" t="s">
        <v>757</v>
      </c>
      <c r="E45" s="6" t="s">
        <v>758</v>
      </c>
      <c r="F45" s="6" t="s">
        <v>41</v>
      </c>
      <c r="G45" s="6" t="s">
        <v>751</v>
      </c>
      <c r="H45" s="6" t="s">
        <v>541</v>
      </c>
      <c r="I45" s="8" t="n">
        <v>1</v>
      </c>
      <c r="J45" s="8" t="n">
        <v>2</v>
      </c>
      <c r="K45" s="9" t="n">
        <f aca="false">AVERAGE(I45:J45)</f>
        <v>1.5</v>
      </c>
      <c r="L45" s="6" t="s">
        <v>226</v>
      </c>
      <c r="M45" s="6" t="s">
        <v>759</v>
      </c>
      <c r="N45" s="7" t="s">
        <v>30</v>
      </c>
      <c r="O45" s="7"/>
      <c r="P45" s="7"/>
    </row>
    <row r="46" customFormat="false" ht="22.35" hidden="false" customHeight="false" outlineLevel="0" collapsed="false">
      <c r="A46" s="5" t="s">
        <v>760</v>
      </c>
      <c r="B46" s="6" t="s">
        <v>761</v>
      </c>
      <c r="C46" s="6" t="s">
        <v>577</v>
      </c>
      <c r="D46" s="6" t="s">
        <v>762</v>
      </c>
      <c r="E46" s="6" t="s">
        <v>763</v>
      </c>
      <c r="F46" s="6" t="s">
        <v>25</v>
      </c>
      <c r="G46" s="6" t="s">
        <v>732</v>
      </c>
      <c r="H46" s="6" t="s">
        <v>541</v>
      </c>
      <c r="I46" s="8" t="n">
        <v>1</v>
      </c>
      <c r="J46" s="8" t="n">
        <v>2</v>
      </c>
      <c r="K46" s="9" t="n">
        <f aca="false">AVERAGE(I46:J46)</f>
        <v>1.5</v>
      </c>
      <c r="L46" s="6" t="s">
        <v>226</v>
      </c>
      <c r="M46" s="6" t="s">
        <v>764</v>
      </c>
      <c r="N46" s="7" t="s">
        <v>30</v>
      </c>
      <c r="O46" s="7"/>
      <c r="P46" s="7"/>
    </row>
    <row r="47" customFormat="false" ht="15" hidden="false" customHeight="false" outlineLevel="0" collapsed="false">
      <c r="A47" s="5" t="s">
        <v>765</v>
      </c>
      <c r="B47" s="6" t="s">
        <v>761</v>
      </c>
      <c r="C47" s="6" t="s">
        <v>577</v>
      </c>
      <c r="D47" s="6" t="s">
        <v>766</v>
      </c>
      <c r="E47" s="6" t="s">
        <v>767</v>
      </c>
      <c r="F47" s="6" t="s">
        <v>41</v>
      </c>
      <c r="G47" s="6" t="s">
        <v>760</v>
      </c>
      <c r="H47" s="6" t="s">
        <v>541</v>
      </c>
      <c r="I47" s="8" t="n">
        <v>1</v>
      </c>
      <c r="J47" s="8" t="n">
        <v>2</v>
      </c>
      <c r="K47" s="9" t="n">
        <f aca="false">AVERAGE(I47:J47)</f>
        <v>1.5</v>
      </c>
      <c r="L47" s="6" t="s">
        <v>226</v>
      </c>
      <c r="M47" s="6" t="s">
        <v>768</v>
      </c>
      <c r="N47" s="7" t="s">
        <v>30</v>
      </c>
      <c r="O47" s="7"/>
      <c r="P47" s="7"/>
    </row>
    <row r="48" customFormat="false" ht="22.35" hidden="false" customHeight="false" outlineLevel="0" collapsed="false">
      <c r="A48" s="5" t="s">
        <v>769</v>
      </c>
      <c r="B48" s="6" t="s">
        <v>570</v>
      </c>
      <c r="C48" s="6" t="s">
        <v>770</v>
      </c>
      <c r="D48" s="6" t="s">
        <v>771</v>
      </c>
      <c r="E48" s="6" t="s">
        <v>772</v>
      </c>
      <c r="F48" s="6" t="s">
        <v>41</v>
      </c>
      <c r="G48" s="6" t="s">
        <v>773</v>
      </c>
      <c r="H48" s="6" t="s">
        <v>14</v>
      </c>
      <c r="I48" s="8" t="n">
        <v>30</v>
      </c>
      <c r="J48" s="8" t="n">
        <v>50</v>
      </c>
      <c r="K48" s="9" t="n">
        <f aca="false">AVERAGE(I48:J48)</f>
        <v>40</v>
      </c>
      <c r="L48" s="6" t="s">
        <v>774</v>
      </c>
      <c r="M48" s="6" t="s">
        <v>775</v>
      </c>
      <c r="N48" s="7" t="s">
        <v>30</v>
      </c>
      <c r="O48" s="7"/>
      <c r="P48" s="7"/>
    </row>
    <row r="49" customFormat="false" ht="22.35" hidden="false" customHeight="false" outlineLevel="0" collapsed="false">
      <c r="A49" s="5" t="s">
        <v>776</v>
      </c>
      <c r="B49" s="6" t="s">
        <v>624</v>
      </c>
      <c r="C49" s="6" t="s">
        <v>770</v>
      </c>
      <c r="D49" s="6" t="s">
        <v>777</v>
      </c>
      <c r="E49" s="6" t="s">
        <v>778</v>
      </c>
      <c r="F49" s="6" t="s">
        <v>41</v>
      </c>
      <c r="G49" s="6" t="s">
        <v>779</v>
      </c>
      <c r="H49" s="6" t="s">
        <v>14</v>
      </c>
      <c r="I49" s="8" t="n">
        <v>25</v>
      </c>
      <c r="J49" s="8" t="n">
        <v>40</v>
      </c>
      <c r="K49" s="9" t="n">
        <f aca="false">AVERAGE(I49:J49)</f>
        <v>32.5</v>
      </c>
      <c r="L49" s="6" t="s">
        <v>780</v>
      </c>
      <c r="M49" s="6" t="s">
        <v>781</v>
      </c>
      <c r="N49" s="7" t="s">
        <v>30</v>
      </c>
      <c r="O49" s="7"/>
      <c r="P49" s="7"/>
    </row>
    <row r="50" customFormat="false" ht="22.35" hidden="false" customHeight="false" outlineLevel="0" collapsed="false">
      <c r="A50" s="5" t="s">
        <v>782</v>
      </c>
      <c r="B50" s="6" t="s">
        <v>624</v>
      </c>
      <c r="C50" s="6" t="s">
        <v>770</v>
      </c>
      <c r="D50" s="6" t="s">
        <v>783</v>
      </c>
      <c r="E50" s="6" t="s">
        <v>784</v>
      </c>
      <c r="F50" s="6" t="s">
        <v>41</v>
      </c>
      <c r="G50" s="6" t="s">
        <v>785</v>
      </c>
      <c r="H50" s="6" t="s">
        <v>14</v>
      </c>
      <c r="I50" s="8" t="n">
        <v>15</v>
      </c>
      <c r="J50" s="8" t="n">
        <v>30</v>
      </c>
      <c r="K50" s="9" t="n">
        <f aca="false">AVERAGE(I50:J50)</f>
        <v>22.5</v>
      </c>
      <c r="L50" s="6" t="s">
        <v>786</v>
      </c>
      <c r="M50" s="6" t="s">
        <v>787</v>
      </c>
      <c r="N50" s="7" t="s">
        <v>30</v>
      </c>
      <c r="O50" s="7"/>
      <c r="P50" s="7"/>
    </row>
    <row r="51" customFormat="false" ht="22.35" hidden="false" customHeight="false" outlineLevel="0" collapsed="false">
      <c r="A51" s="5" t="s">
        <v>788</v>
      </c>
      <c r="B51" s="6" t="s">
        <v>624</v>
      </c>
      <c r="C51" s="6" t="s">
        <v>789</v>
      </c>
      <c r="D51" s="6" t="s">
        <v>790</v>
      </c>
      <c r="E51" s="6" t="s">
        <v>791</v>
      </c>
      <c r="F51" s="6" t="s">
        <v>41</v>
      </c>
      <c r="G51" s="6" t="s">
        <v>792</v>
      </c>
      <c r="H51" s="6" t="s">
        <v>14</v>
      </c>
      <c r="I51" s="8" t="n">
        <v>30</v>
      </c>
      <c r="J51" s="8" t="n">
        <v>45</v>
      </c>
      <c r="K51" s="9" t="n">
        <f aca="false">AVERAGE(I51:J51)</f>
        <v>37.5</v>
      </c>
      <c r="L51" s="6" t="s">
        <v>793</v>
      </c>
      <c r="M51" s="6" t="s">
        <v>794</v>
      </c>
      <c r="N51" s="7" t="s">
        <v>30</v>
      </c>
      <c r="O51" s="7"/>
      <c r="P51" s="7"/>
    </row>
    <row r="52" customFormat="false" ht="22.35" hidden="false" customHeight="false" outlineLevel="0" collapsed="false">
      <c r="A52" s="5" t="s">
        <v>795</v>
      </c>
      <c r="B52" s="6" t="s">
        <v>570</v>
      </c>
      <c r="C52" s="6" t="s">
        <v>789</v>
      </c>
      <c r="D52" s="6" t="s">
        <v>796</v>
      </c>
      <c r="E52" s="6" t="s">
        <v>797</v>
      </c>
      <c r="F52" s="6" t="s">
        <v>41</v>
      </c>
      <c r="G52" s="6" t="s">
        <v>798</v>
      </c>
      <c r="H52" s="6" t="s">
        <v>14</v>
      </c>
      <c r="I52" s="8" t="n">
        <v>30</v>
      </c>
      <c r="J52" s="8" t="n">
        <v>50</v>
      </c>
      <c r="K52" s="9" t="n">
        <f aca="false">AVERAGE(I52:J52)</f>
        <v>40</v>
      </c>
      <c r="L52" s="6" t="s">
        <v>799</v>
      </c>
      <c r="M52" s="6" t="s">
        <v>800</v>
      </c>
      <c r="N52" s="7" t="s">
        <v>30</v>
      </c>
      <c r="O52" s="7"/>
      <c r="P52" s="7"/>
    </row>
    <row r="53" customFormat="false" ht="22.35" hidden="false" customHeight="false" outlineLevel="0" collapsed="false">
      <c r="A53" s="5" t="s">
        <v>801</v>
      </c>
      <c r="B53" s="6" t="s">
        <v>624</v>
      </c>
      <c r="C53" s="6" t="s">
        <v>789</v>
      </c>
      <c r="D53" s="6" t="s">
        <v>802</v>
      </c>
      <c r="E53" s="6" t="s">
        <v>803</v>
      </c>
      <c r="F53" s="6" t="s">
        <v>41</v>
      </c>
      <c r="G53" s="6" t="s">
        <v>471</v>
      </c>
      <c r="H53" s="6" t="s">
        <v>14</v>
      </c>
      <c r="I53" s="8" t="n">
        <v>15</v>
      </c>
      <c r="J53" s="8" t="n">
        <v>25</v>
      </c>
      <c r="K53" s="9" t="n">
        <f aca="false">AVERAGE(I53:J53)</f>
        <v>20</v>
      </c>
      <c r="L53" s="6" t="s">
        <v>804</v>
      </c>
      <c r="M53" s="6" t="s">
        <v>805</v>
      </c>
      <c r="N53" s="7" t="s">
        <v>30</v>
      </c>
      <c r="O53" s="7"/>
      <c r="P53" s="7"/>
    </row>
    <row r="54" customFormat="false" ht="15" hidden="false" customHeight="false" outlineLevel="0" collapsed="false">
      <c r="A54" s="5" t="s">
        <v>806</v>
      </c>
      <c r="B54" s="6" t="s">
        <v>668</v>
      </c>
      <c r="C54" s="6" t="s">
        <v>789</v>
      </c>
      <c r="D54" s="6" t="s">
        <v>807</v>
      </c>
      <c r="E54" s="6" t="s">
        <v>808</v>
      </c>
      <c r="F54" s="6" t="s">
        <v>41</v>
      </c>
      <c r="G54" s="6" t="s">
        <v>782</v>
      </c>
      <c r="H54" s="6" t="s">
        <v>14</v>
      </c>
      <c r="I54" s="8" t="n">
        <v>15</v>
      </c>
      <c r="J54" s="8" t="n">
        <v>30</v>
      </c>
      <c r="K54" s="9" t="n">
        <f aca="false">AVERAGE(I54:J54)</f>
        <v>22.5</v>
      </c>
      <c r="L54" s="6" t="s">
        <v>809</v>
      </c>
      <c r="M54" s="6" t="s">
        <v>810</v>
      </c>
      <c r="N54" s="7" t="s">
        <v>30</v>
      </c>
      <c r="O54" s="7"/>
      <c r="P54" s="7"/>
    </row>
    <row r="55" customFormat="false" ht="22.35" hidden="false" customHeight="false" outlineLevel="0" collapsed="false">
      <c r="A55" s="5" t="s">
        <v>811</v>
      </c>
      <c r="B55" s="6" t="s">
        <v>545</v>
      </c>
      <c r="C55" s="6" t="s">
        <v>812</v>
      </c>
      <c r="D55" s="6" t="s">
        <v>813</v>
      </c>
      <c r="E55" s="6" t="s">
        <v>814</v>
      </c>
      <c r="F55" s="6" t="s">
        <v>41</v>
      </c>
      <c r="G55" s="6" t="s">
        <v>815</v>
      </c>
      <c r="H55" s="6" t="s">
        <v>14</v>
      </c>
      <c r="I55" s="8" t="n">
        <v>60</v>
      </c>
      <c r="J55" s="8" t="n">
        <v>100</v>
      </c>
      <c r="K55" s="9" t="n">
        <f aca="false">AVERAGE(I55:J55)</f>
        <v>80</v>
      </c>
      <c r="L55" s="6" t="s">
        <v>816</v>
      </c>
      <c r="M55" s="6" t="s">
        <v>817</v>
      </c>
      <c r="N55" s="7" t="s">
        <v>30</v>
      </c>
      <c r="O55" s="7"/>
      <c r="P55" s="7"/>
    </row>
    <row r="56" customFormat="false" ht="22.35" hidden="false" customHeight="false" outlineLevel="0" collapsed="false">
      <c r="A56" s="5" t="s">
        <v>818</v>
      </c>
      <c r="B56" s="6" t="s">
        <v>545</v>
      </c>
      <c r="C56" s="6" t="s">
        <v>819</v>
      </c>
      <c r="D56" s="6" t="s">
        <v>820</v>
      </c>
      <c r="E56" s="6" t="s">
        <v>821</v>
      </c>
      <c r="F56" s="6" t="s">
        <v>74</v>
      </c>
      <c r="G56" s="6" t="s">
        <v>822</v>
      </c>
      <c r="H56" s="6" t="s">
        <v>14</v>
      </c>
      <c r="I56" s="8" t="n">
        <v>80</v>
      </c>
      <c r="J56" s="8" t="n">
        <v>150</v>
      </c>
      <c r="K56" s="9" t="n">
        <f aca="false">AVERAGE(I56:J56)</f>
        <v>115</v>
      </c>
      <c r="L56" s="6" t="s">
        <v>823</v>
      </c>
      <c r="M56" s="6" t="s">
        <v>824</v>
      </c>
      <c r="N56" s="7" t="s">
        <v>30</v>
      </c>
      <c r="O56" s="7"/>
      <c r="P56" s="7"/>
    </row>
  </sheetData>
  <autoFilter ref="A1:P56"/>
  <dataValidations count="1">
    <dataValidation allowBlank="true" errorStyle="stop" operator="between" showDropDown="false" showErrorMessage="false" showInputMessage="false" sqref="N2:N56" type="list">
      <formula1>"Not started,In progress,In review,Done,Blocked,Deferred"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5" min="3" style="0" width="10"/>
    <col collapsed="false" customWidth="true" hidden="false" outlineLevel="0" max="6" min="6" style="0" width="22"/>
  </cols>
  <sheetData>
    <row r="1" customFormat="false" ht="15" hidden="false" customHeight="false" outlineLevel="0" collapsed="false">
      <c r="A1" s="10" t="s">
        <v>825</v>
      </c>
    </row>
    <row r="3" customFormat="false" ht="15" hidden="false" customHeight="false" outlineLevel="0" collapsed="false">
      <c r="A3" s="0" t="s">
        <v>826</v>
      </c>
      <c r="B3" s="11" t="n">
        <v>0.25</v>
      </c>
      <c r="C3" s="12" t="s">
        <v>827</v>
      </c>
    </row>
    <row r="5" customFormat="false" ht="15" hidden="false" customHeight="false" outlineLevel="0" collapsed="false">
      <c r="A5" s="13" t="s">
        <v>15</v>
      </c>
      <c r="B5" s="13" t="s">
        <v>828</v>
      </c>
      <c r="C5" s="13" t="s">
        <v>829</v>
      </c>
      <c r="D5" s="13" t="s">
        <v>830</v>
      </c>
      <c r="E5" s="13" t="s">
        <v>831</v>
      </c>
      <c r="F5" s="13" t="s">
        <v>832</v>
      </c>
    </row>
    <row r="6" customFormat="false" ht="15" hidden="false" customHeight="false" outlineLevel="0" collapsed="false">
      <c r="A6" s="14" t="s">
        <v>531</v>
      </c>
      <c r="B6" s="14" t="n">
        <f aca="false">COUNTIF('WBS &amp; Backlog'!$C$2:$C$56,A6)</f>
        <v>8</v>
      </c>
      <c r="C6" s="15" t="n">
        <f aca="false">SUMIF('WBS &amp; Backlog'!$C$2:$C$56,A6,'WBS &amp; Backlog'!$I$2:$I$56)</f>
        <v>25</v>
      </c>
      <c r="D6" s="15" t="n">
        <f aca="false">SUMIF('WBS &amp; Backlog'!$C$2:$C$56,A6,'WBS &amp; Backlog'!$J$2:$J$56)</f>
        <v>42</v>
      </c>
      <c r="E6" s="15" t="n">
        <f aca="false">SUMIF('WBS &amp; Backlog'!$C$2:$C$56,A6,'WBS &amp; Backlog'!$K$2:$K$56)</f>
        <v>33.5</v>
      </c>
      <c r="F6" s="15" t="n">
        <f aca="false">D6*(1+$B$3)</f>
        <v>52.5</v>
      </c>
    </row>
    <row r="7" customFormat="false" ht="15" hidden="false" customHeight="false" outlineLevel="0" collapsed="false">
      <c r="A7" s="14" t="s">
        <v>577</v>
      </c>
      <c r="B7" s="14" t="n">
        <f aca="false">COUNTIF('WBS &amp; Backlog'!$C$2:$C$56,A7)</f>
        <v>38</v>
      </c>
      <c r="C7" s="15" t="n">
        <f aca="false">SUMIF('WBS &amp; Backlog'!$C$2:$C$56,A7,'WBS &amp; Backlog'!$I$2:$I$56)</f>
        <v>105</v>
      </c>
      <c r="D7" s="15" t="n">
        <f aca="false">SUMIF('WBS &amp; Backlog'!$C$2:$C$56,A7,'WBS &amp; Backlog'!$J$2:$J$56)</f>
        <v>179</v>
      </c>
      <c r="E7" s="15" t="n">
        <f aca="false">SUMIF('WBS &amp; Backlog'!$C$2:$C$56,A7,'WBS &amp; Backlog'!$K$2:$K$56)</f>
        <v>142</v>
      </c>
      <c r="F7" s="15" t="n">
        <f aca="false">D7*(1+$B$3)</f>
        <v>223.75</v>
      </c>
    </row>
    <row r="8" customFormat="false" ht="15" hidden="false" customHeight="false" outlineLevel="0" collapsed="false">
      <c r="A8" s="14" t="s">
        <v>770</v>
      </c>
      <c r="B8" s="14" t="n">
        <f aca="false">COUNTIF('WBS &amp; Backlog'!$C$2:$C$56,A8)</f>
        <v>3</v>
      </c>
      <c r="C8" s="15" t="n">
        <f aca="false">SUMIF('WBS &amp; Backlog'!$C$2:$C$56,A8,'WBS &amp; Backlog'!$I$2:$I$56)</f>
        <v>70</v>
      </c>
      <c r="D8" s="15" t="n">
        <f aca="false">SUMIF('WBS &amp; Backlog'!$C$2:$C$56,A8,'WBS &amp; Backlog'!$J$2:$J$56)</f>
        <v>120</v>
      </c>
      <c r="E8" s="15" t="n">
        <f aca="false">SUMIF('WBS &amp; Backlog'!$C$2:$C$56,A8,'WBS &amp; Backlog'!$K$2:$K$56)</f>
        <v>95</v>
      </c>
      <c r="F8" s="15" t="n">
        <f aca="false">D8*(1+$B$3)</f>
        <v>150</v>
      </c>
    </row>
    <row r="9" customFormat="false" ht="15" hidden="false" customHeight="false" outlineLevel="0" collapsed="false">
      <c r="A9" s="14" t="s">
        <v>789</v>
      </c>
      <c r="B9" s="14" t="n">
        <f aca="false">COUNTIF('WBS &amp; Backlog'!$C$2:$C$56,A9)</f>
        <v>4</v>
      </c>
      <c r="C9" s="15" t="n">
        <f aca="false">SUMIF('WBS &amp; Backlog'!$C$2:$C$56,A9,'WBS &amp; Backlog'!$I$2:$I$56)</f>
        <v>90</v>
      </c>
      <c r="D9" s="15" t="n">
        <f aca="false">SUMIF('WBS &amp; Backlog'!$C$2:$C$56,A9,'WBS &amp; Backlog'!$J$2:$J$56)</f>
        <v>150</v>
      </c>
      <c r="E9" s="15" t="n">
        <f aca="false">SUMIF('WBS &amp; Backlog'!$C$2:$C$56,A9,'WBS &amp; Backlog'!$K$2:$K$56)</f>
        <v>120</v>
      </c>
      <c r="F9" s="15" t="n">
        <f aca="false">D9*(1+$B$3)</f>
        <v>187.5</v>
      </c>
    </row>
    <row r="10" customFormat="false" ht="15" hidden="false" customHeight="false" outlineLevel="0" collapsed="false">
      <c r="A10" s="14" t="s">
        <v>812</v>
      </c>
      <c r="B10" s="14" t="n">
        <f aca="false">COUNTIF('WBS &amp; Backlog'!$C$2:$C$56,A10)</f>
        <v>1</v>
      </c>
      <c r="C10" s="15" t="n">
        <f aca="false">SUMIF('WBS &amp; Backlog'!$C$2:$C$56,A10,'WBS &amp; Backlog'!$I$2:$I$56)</f>
        <v>60</v>
      </c>
      <c r="D10" s="15" t="n">
        <f aca="false">SUMIF('WBS &amp; Backlog'!$C$2:$C$56,A10,'WBS &amp; Backlog'!$J$2:$J$56)</f>
        <v>100</v>
      </c>
      <c r="E10" s="15" t="n">
        <f aca="false">SUMIF('WBS &amp; Backlog'!$C$2:$C$56,A10,'WBS &amp; Backlog'!$K$2:$K$56)</f>
        <v>80</v>
      </c>
      <c r="F10" s="15" t="n">
        <f aca="false">D10*(1+$B$3)</f>
        <v>125</v>
      </c>
    </row>
    <row r="11" customFormat="false" ht="15" hidden="false" customHeight="false" outlineLevel="0" collapsed="false">
      <c r="A11" s="14" t="s">
        <v>819</v>
      </c>
      <c r="B11" s="14" t="n">
        <f aca="false">COUNTIF('WBS &amp; Backlog'!$C$2:$C$56,A11)</f>
        <v>1</v>
      </c>
      <c r="C11" s="15" t="n">
        <f aca="false">SUMIF('WBS &amp; Backlog'!$C$2:$C$56,A11,'WBS &amp; Backlog'!$I$2:$I$56)</f>
        <v>80</v>
      </c>
      <c r="D11" s="15" t="n">
        <f aca="false">SUMIF('WBS &amp; Backlog'!$C$2:$C$56,A11,'WBS &amp; Backlog'!$J$2:$J$56)</f>
        <v>150</v>
      </c>
      <c r="E11" s="15" t="n">
        <f aca="false">SUMIF('WBS &amp; Backlog'!$C$2:$C$56,A11,'WBS &amp; Backlog'!$K$2:$K$56)</f>
        <v>115</v>
      </c>
      <c r="F11" s="15" t="n">
        <f aca="false">D11*(1+$B$3)</f>
        <v>187.5</v>
      </c>
    </row>
    <row r="12" customFormat="false" ht="15" hidden="false" customHeight="false" outlineLevel="0" collapsed="false">
      <c r="A12" s="16" t="s">
        <v>833</v>
      </c>
      <c r="B12" s="16" t="n">
        <f aca="false">SUM(B6:B11)</f>
        <v>55</v>
      </c>
      <c r="C12" s="17" t="n">
        <f aca="false">SUM(C6:C11)</f>
        <v>430</v>
      </c>
      <c r="D12" s="17" t="n">
        <f aca="false">SUM(D6:D11)</f>
        <v>741</v>
      </c>
      <c r="E12" s="17" t="n">
        <f aca="false">SUM(E6:E11)</f>
        <v>585.5</v>
      </c>
      <c r="F12" s="17" t="n">
        <f aca="false">SUM(F6:F11)</f>
        <v>926.25</v>
      </c>
    </row>
    <row r="13" customFormat="false" ht="15" hidden="false" customHeight="false" outlineLevel="0" collapsed="false">
      <c r="A13" s="14"/>
      <c r="B13" s="14"/>
      <c r="C13" s="15"/>
      <c r="D13" s="15"/>
      <c r="E13" s="15"/>
      <c r="F13" s="15"/>
    </row>
    <row r="14" customFormat="false" ht="15" hidden="false" customHeight="false" outlineLevel="0" collapsed="false">
      <c r="A14" s="13" t="s">
        <v>834</v>
      </c>
      <c r="B14" s="13" t="s">
        <v>828</v>
      </c>
      <c r="C14" s="18" t="s">
        <v>829</v>
      </c>
      <c r="D14" s="18" t="s">
        <v>830</v>
      </c>
      <c r="E14" s="18" t="s">
        <v>831</v>
      </c>
      <c r="F14" s="18" t="s">
        <v>832</v>
      </c>
    </row>
    <row r="15" customFormat="false" ht="15" hidden="false" customHeight="false" outlineLevel="0" collapsed="false">
      <c r="A15" s="14" t="s">
        <v>752</v>
      </c>
      <c r="B15" s="14" t="n">
        <f aca="false">COUNTIFS('WBS &amp; Backlog'!$C$2:$C$56,"1 Core MVP",'WBS &amp; Backlog'!$B$2:$B$56,A15)</f>
        <v>2</v>
      </c>
      <c r="C15" s="15" t="n">
        <f aca="false">SUMIFS('WBS &amp; Backlog'!$I$2:$I$56,'WBS &amp; Backlog'!$C$2:$C$56,"1 Core MVP",'WBS &amp; Backlog'!$B$2:$B$56,A15)</f>
        <v>4</v>
      </c>
      <c r="D15" s="15" t="n">
        <f aca="false">SUMIFS('WBS &amp; Backlog'!$J$2:$J$56,'WBS &amp; Backlog'!$C$2:$C$56,"1 Core MVP",'WBS &amp; Backlog'!$B$2:$B$56,A15)</f>
        <v>7</v>
      </c>
      <c r="E15" s="15" t="n">
        <f aca="false">SUMIFS('WBS &amp; Backlog'!$K$2:$K$56,'WBS &amp; Backlog'!$C$2:$C$56,"1 Core MVP",'WBS &amp; Backlog'!$B$2:$B$56,A15)</f>
        <v>5.5</v>
      </c>
      <c r="F15" s="15" t="n">
        <f aca="false">D15*(1+$B$3)</f>
        <v>8.75</v>
      </c>
    </row>
    <row r="16" customFormat="false" ht="15" hidden="false" customHeight="false" outlineLevel="0" collapsed="false">
      <c r="A16" s="14" t="s">
        <v>624</v>
      </c>
      <c r="B16" s="14" t="n">
        <f aca="false">COUNTIFS('WBS &amp; Backlog'!$C$2:$C$56,"1 Core MVP",'WBS &amp; Backlog'!$B$2:$B$56,A16)</f>
        <v>9</v>
      </c>
      <c r="C16" s="15" t="n">
        <f aca="false">SUMIFS('WBS &amp; Backlog'!$I$2:$I$56,'WBS &amp; Backlog'!$C$2:$C$56,"1 Core MVP",'WBS &amp; Backlog'!$B$2:$B$56,A16)</f>
        <v>26</v>
      </c>
      <c r="D16" s="15" t="n">
        <f aca="false">SUMIFS('WBS &amp; Backlog'!$J$2:$J$56,'WBS &amp; Backlog'!$C$2:$C$56,"1 Core MVP",'WBS &amp; Backlog'!$B$2:$B$56,A16)</f>
        <v>44</v>
      </c>
      <c r="E16" s="15" t="n">
        <f aca="false">SUMIFS('WBS &amp; Backlog'!$K$2:$K$56,'WBS &amp; Backlog'!$C$2:$C$56,"1 Core MVP",'WBS &amp; Backlog'!$B$2:$B$56,A16)</f>
        <v>35</v>
      </c>
      <c r="F16" s="15" t="n">
        <f aca="false">D16*(1+$B$3)</f>
        <v>55</v>
      </c>
    </row>
    <row r="17" customFormat="false" ht="15" hidden="false" customHeight="false" outlineLevel="0" collapsed="false">
      <c r="A17" s="14" t="s">
        <v>608</v>
      </c>
      <c r="B17" s="14" t="n">
        <f aca="false">COUNTIFS('WBS &amp; Backlog'!$C$2:$C$56,"1 Core MVP",'WBS &amp; Backlog'!$B$2:$B$56,A17)</f>
        <v>3</v>
      </c>
      <c r="C17" s="15" t="n">
        <f aca="false">SUMIFS('WBS &amp; Backlog'!$I$2:$I$56,'WBS &amp; Backlog'!$C$2:$C$56,"1 Core MVP",'WBS &amp; Backlog'!$B$2:$B$56,A17)</f>
        <v>10</v>
      </c>
      <c r="D17" s="15" t="n">
        <f aca="false">SUMIFS('WBS &amp; Backlog'!$J$2:$J$56,'WBS &amp; Backlog'!$C$2:$C$56,"1 Core MVP",'WBS &amp; Backlog'!$B$2:$B$56,A17)</f>
        <v>17</v>
      </c>
      <c r="E17" s="15" t="n">
        <f aca="false">SUMIFS('WBS &amp; Backlog'!$K$2:$K$56,'WBS &amp; Backlog'!$C$2:$C$56,"1 Core MVP",'WBS &amp; Backlog'!$B$2:$B$56,A17)</f>
        <v>13.5</v>
      </c>
      <c r="F17" s="15" t="n">
        <f aca="false">D17*(1+$B$3)</f>
        <v>21.25</v>
      </c>
    </row>
    <row r="18" customFormat="false" ht="15" hidden="false" customHeight="false" outlineLevel="0" collapsed="false">
      <c r="A18" s="14" t="s">
        <v>737</v>
      </c>
      <c r="B18" s="14" t="n">
        <f aca="false">COUNTIFS('WBS &amp; Backlog'!$C$2:$C$56,"1 Core MVP",'WBS &amp; Backlog'!$B$2:$B$56,A18)</f>
        <v>3</v>
      </c>
      <c r="C18" s="15" t="n">
        <f aca="false">SUMIFS('WBS &amp; Backlog'!$I$2:$I$56,'WBS &amp; Backlog'!$C$2:$C$56,"1 Core MVP",'WBS &amp; Backlog'!$B$2:$B$56,A18)</f>
        <v>5</v>
      </c>
      <c r="D18" s="15" t="n">
        <f aca="false">SUMIFS('WBS &amp; Backlog'!$J$2:$J$56,'WBS &amp; Backlog'!$C$2:$C$56,"1 Core MVP",'WBS &amp; Backlog'!$B$2:$B$56,A18)</f>
        <v>9</v>
      </c>
      <c r="E18" s="15" t="n">
        <f aca="false">SUMIFS('WBS &amp; Backlog'!$K$2:$K$56,'WBS &amp; Backlog'!$C$2:$C$56,"1 Core MVP",'WBS &amp; Backlog'!$B$2:$B$56,A18)</f>
        <v>7</v>
      </c>
      <c r="F18" s="15" t="n">
        <f aca="false">D18*(1+$B$3)</f>
        <v>11.25</v>
      </c>
    </row>
    <row r="19" customFormat="false" ht="15" hidden="false" customHeight="false" outlineLevel="0" collapsed="false">
      <c r="A19" s="14" t="s">
        <v>668</v>
      </c>
      <c r="B19" s="14" t="n">
        <f aca="false">COUNTIFS('WBS &amp; Backlog'!$C$2:$C$56,"1 Core MVP",'WBS &amp; Backlog'!$B$2:$B$56,A19)</f>
        <v>7</v>
      </c>
      <c r="C19" s="15" t="n">
        <f aca="false">SUMIFS('WBS &amp; Backlog'!$I$2:$I$56,'WBS &amp; Backlog'!$C$2:$C$56,"1 Core MVP",'WBS &amp; Backlog'!$B$2:$B$56,A19)</f>
        <v>27</v>
      </c>
      <c r="D19" s="15" t="n">
        <f aca="false">SUMIFS('WBS &amp; Backlog'!$J$2:$J$56,'WBS &amp; Backlog'!$C$2:$C$56,"1 Core MVP",'WBS &amp; Backlog'!$B$2:$B$56,A19)</f>
        <v>45</v>
      </c>
      <c r="E19" s="15" t="n">
        <f aca="false">SUMIFS('WBS &amp; Backlog'!$K$2:$K$56,'WBS &amp; Backlog'!$C$2:$C$56,"1 Core MVP",'WBS &amp; Backlog'!$B$2:$B$56,A19)</f>
        <v>36</v>
      </c>
      <c r="F19" s="15" t="n">
        <f aca="false">D19*(1+$B$3)</f>
        <v>56.25</v>
      </c>
    </row>
    <row r="20" customFormat="false" ht="15" hidden="false" customHeight="false" outlineLevel="0" collapsed="false">
      <c r="A20" s="14" t="s">
        <v>717</v>
      </c>
      <c r="B20" s="14" t="n">
        <f aca="false">COUNTIFS('WBS &amp; Backlog'!$C$2:$C$56,"1 Core MVP",'WBS &amp; Backlog'!$B$2:$B$56,A20)</f>
        <v>4</v>
      </c>
      <c r="C20" s="15" t="n">
        <f aca="false">SUMIFS('WBS &amp; Backlog'!$I$2:$I$56,'WBS &amp; Backlog'!$C$2:$C$56,"1 Core MVP",'WBS &amp; Backlog'!$B$2:$B$56,A20)</f>
        <v>13</v>
      </c>
      <c r="D20" s="15" t="n">
        <f aca="false">SUMIFS('WBS &amp; Backlog'!$J$2:$J$56,'WBS &amp; Backlog'!$C$2:$C$56,"1 Core MVP",'WBS &amp; Backlog'!$B$2:$B$56,A20)</f>
        <v>22</v>
      </c>
      <c r="E20" s="15" t="n">
        <f aca="false">SUMIFS('WBS &amp; Backlog'!$K$2:$K$56,'WBS &amp; Backlog'!$C$2:$C$56,"1 Core MVP",'WBS &amp; Backlog'!$B$2:$B$56,A20)</f>
        <v>17.5</v>
      </c>
      <c r="F20" s="15" t="n">
        <f aca="false">D20*(1+$B$3)</f>
        <v>27.5</v>
      </c>
    </row>
    <row r="21" customFormat="false" ht="15" hidden="false" customHeight="false" outlineLevel="0" collapsed="false">
      <c r="A21" s="14" t="s">
        <v>761</v>
      </c>
      <c r="B21" s="14" t="n">
        <f aca="false">COUNTIFS('WBS &amp; Backlog'!$C$2:$C$56,"1 Core MVP",'WBS &amp; Backlog'!$B$2:$B$56,A21)</f>
        <v>2</v>
      </c>
      <c r="C21" s="15" t="n">
        <f aca="false">SUMIFS('WBS &amp; Backlog'!$I$2:$I$56,'WBS &amp; Backlog'!$C$2:$C$56,"1 Core MVP",'WBS &amp; Backlog'!$B$2:$B$56,A21)</f>
        <v>2</v>
      </c>
      <c r="D21" s="15" t="n">
        <f aca="false">SUMIFS('WBS &amp; Backlog'!$J$2:$J$56,'WBS &amp; Backlog'!$C$2:$C$56,"1 Core MVP",'WBS &amp; Backlog'!$B$2:$B$56,A21)</f>
        <v>4</v>
      </c>
      <c r="E21" s="15" t="n">
        <f aca="false">SUMIFS('WBS &amp; Backlog'!$K$2:$K$56,'WBS &amp; Backlog'!$C$2:$C$56,"1 Core MVP",'WBS &amp; Backlog'!$B$2:$B$56,A21)</f>
        <v>3</v>
      </c>
      <c r="F21" s="15" t="n">
        <f aca="false">D21*(1+$B$3)</f>
        <v>5</v>
      </c>
    </row>
    <row r="22" customFormat="false" ht="15" hidden="false" customHeight="false" outlineLevel="0" collapsed="false">
      <c r="A22" s="14" t="s">
        <v>564</v>
      </c>
      <c r="B22" s="14" t="n">
        <f aca="false">COUNTIFS('WBS &amp; Backlog'!$C$2:$C$56,"1 Core MVP",'WBS &amp; Backlog'!$B$2:$B$56,A22)</f>
        <v>2</v>
      </c>
      <c r="C22" s="15" t="n">
        <f aca="false">SUMIFS('WBS &amp; Backlog'!$I$2:$I$56,'WBS &amp; Backlog'!$C$2:$C$56,"1 Core MVP",'WBS &amp; Backlog'!$B$2:$B$56,A22)</f>
        <v>4</v>
      </c>
      <c r="D22" s="15" t="n">
        <f aca="false">SUMIFS('WBS &amp; Backlog'!$J$2:$J$56,'WBS &amp; Backlog'!$C$2:$C$56,"1 Core MVP",'WBS &amp; Backlog'!$B$2:$B$56,A22)</f>
        <v>7</v>
      </c>
      <c r="E22" s="15" t="n">
        <f aca="false">SUMIFS('WBS &amp; Backlog'!$K$2:$K$56,'WBS &amp; Backlog'!$C$2:$C$56,"1 Core MVP",'WBS &amp; Backlog'!$B$2:$B$56,A22)</f>
        <v>5.5</v>
      </c>
      <c r="F22" s="15" t="n">
        <f aca="false">D22*(1+$B$3)</f>
        <v>8.75</v>
      </c>
    </row>
    <row r="23" customFormat="false" ht="15" hidden="false" customHeight="false" outlineLevel="0" collapsed="false">
      <c r="A23" s="14" t="s">
        <v>576</v>
      </c>
      <c r="B23" s="14" t="n">
        <f aca="false">COUNTIFS('WBS &amp; Backlog'!$C$2:$C$56,"1 Core MVP",'WBS &amp; Backlog'!$B$2:$B$56,A23)</f>
        <v>6</v>
      </c>
      <c r="C23" s="15" t="n">
        <f aca="false">SUMIFS('WBS &amp; Backlog'!$I$2:$I$56,'WBS &amp; Backlog'!$C$2:$C$56,"1 Core MVP",'WBS &amp; Backlog'!$B$2:$B$56,A23)</f>
        <v>14</v>
      </c>
      <c r="D23" s="15" t="n">
        <f aca="false">SUMIFS('WBS &amp; Backlog'!$J$2:$J$56,'WBS &amp; Backlog'!$C$2:$C$56,"1 Core MVP",'WBS &amp; Backlog'!$B$2:$B$56,A23)</f>
        <v>24</v>
      </c>
      <c r="E23" s="15" t="n">
        <f aca="false">SUMIFS('WBS &amp; Backlog'!$K$2:$K$56,'WBS &amp; Backlog'!$C$2:$C$56,"1 Core MVP",'WBS &amp; Backlog'!$B$2:$B$56,A23)</f>
        <v>19</v>
      </c>
      <c r="F23" s="15" t="n">
        <f aca="false">D23*(1+$B$3)</f>
        <v>30</v>
      </c>
    </row>
    <row r="24" customFormat="false" ht="15" hidden="false" customHeight="false" outlineLevel="0" collapsed="false">
      <c r="A24" s="14"/>
      <c r="B24" s="14"/>
      <c r="C24" s="15"/>
      <c r="D24" s="15"/>
      <c r="E24" s="15"/>
      <c r="F24"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30"/>
    <col collapsed="false" customWidth="true" hidden="false" outlineLevel="0" max="4" min="4" style="0" width="40"/>
    <col collapsed="false" customWidth="true" hidden="false" outlineLevel="0" max="5" min="5" style="0" width="18"/>
    <col collapsed="false" customWidth="true" hidden="false" outlineLevel="0" max="6" min="6" style="0" width="30"/>
    <col collapsed="false" customWidth="true" hidden="false" outlineLevel="0" max="7" min="7" style="0" width="16"/>
    <col collapsed="false" customWidth="true" hidden="false" outlineLevel="0" max="8" min="8" style="0" width="12"/>
  </cols>
  <sheetData>
    <row r="1" customFormat="false" ht="30" hidden="false" customHeight="true" outlineLevel="0" collapsed="false">
      <c r="A1" s="4" t="s">
        <v>13</v>
      </c>
      <c r="B1" s="4" t="s">
        <v>835</v>
      </c>
      <c r="C1" s="4" t="s">
        <v>836</v>
      </c>
      <c r="D1" s="4" t="s">
        <v>837</v>
      </c>
      <c r="E1" s="4" t="s">
        <v>838</v>
      </c>
      <c r="F1" s="4" t="s">
        <v>839</v>
      </c>
      <c r="G1" s="4" t="s">
        <v>840</v>
      </c>
      <c r="H1" s="4" t="s">
        <v>841</v>
      </c>
    </row>
    <row r="2" customFormat="false" ht="22.35" hidden="false" customHeight="false" outlineLevel="0" collapsed="false">
      <c r="A2" s="5" t="s">
        <v>842</v>
      </c>
      <c r="B2" s="6" t="s">
        <v>843</v>
      </c>
      <c r="C2" s="6" t="s">
        <v>844</v>
      </c>
      <c r="D2" s="6" t="s">
        <v>845</v>
      </c>
      <c r="E2" s="6" t="s">
        <v>846</v>
      </c>
      <c r="F2" s="7"/>
      <c r="G2" s="7"/>
      <c r="H2" s="7"/>
    </row>
    <row r="3" customFormat="false" ht="22.35" hidden="false" customHeight="false" outlineLevel="0" collapsed="false">
      <c r="A3" s="5" t="s">
        <v>847</v>
      </c>
      <c r="B3" s="6" t="s">
        <v>848</v>
      </c>
      <c r="C3" s="6" t="s">
        <v>849</v>
      </c>
      <c r="D3" s="6" t="s">
        <v>850</v>
      </c>
      <c r="E3" s="6" t="s">
        <v>846</v>
      </c>
      <c r="F3" s="7"/>
      <c r="G3" s="7"/>
      <c r="H3" s="7"/>
    </row>
    <row r="4" customFormat="false" ht="22.35" hidden="false" customHeight="false" outlineLevel="0" collapsed="false">
      <c r="A4" s="5" t="s">
        <v>509</v>
      </c>
      <c r="B4" s="6" t="s">
        <v>851</v>
      </c>
      <c r="C4" s="6" t="s">
        <v>852</v>
      </c>
      <c r="D4" s="6" t="s">
        <v>853</v>
      </c>
      <c r="E4" s="6" t="s">
        <v>854</v>
      </c>
      <c r="F4" s="7"/>
      <c r="G4" s="7"/>
      <c r="H4" s="7"/>
    </row>
    <row r="5" customFormat="false" ht="22.35" hidden="false" customHeight="false" outlineLevel="0" collapsed="false">
      <c r="A5" s="5" t="s">
        <v>855</v>
      </c>
      <c r="B5" s="6" t="s">
        <v>856</v>
      </c>
      <c r="C5" s="6" t="s">
        <v>226</v>
      </c>
      <c r="D5" s="6" t="s">
        <v>857</v>
      </c>
      <c r="E5" s="6" t="s">
        <v>858</v>
      </c>
      <c r="F5" s="7"/>
      <c r="G5" s="7"/>
      <c r="H5" s="7"/>
    </row>
    <row r="6" customFormat="false" ht="22.35" hidden="false" customHeight="false" outlineLevel="0" collapsed="false">
      <c r="A6" s="5" t="s">
        <v>270</v>
      </c>
      <c r="B6" s="6" t="s">
        <v>859</v>
      </c>
      <c r="C6" s="6" t="s">
        <v>860</v>
      </c>
      <c r="D6" s="6" t="s">
        <v>861</v>
      </c>
      <c r="E6" s="6" t="s">
        <v>854</v>
      </c>
      <c r="F6" s="7"/>
      <c r="G6" s="7"/>
      <c r="H6" s="7"/>
    </row>
    <row r="7" customFormat="false" ht="15" hidden="false" customHeight="false" outlineLevel="0" collapsed="false">
      <c r="A7" s="5" t="s">
        <v>862</v>
      </c>
      <c r="B7" s="6" t="s">
        <v>863</v>
      </c>
      <c r="C7" s="6" t="s">
        <v>864</v>
      </c>
      <c r="D7" s="6" t="s">
        <v>865</v>
      </c>
      <c r="E7" s="6" t="s">
        <v>866</v>
      </c>
      <c r="F7" s="7"/>
      <c r="G7" s="7"/>
      <c r="H7" s="7"/>
    </row>
    <row r="8" customFormat="false" ht="15" hidden="false" customHeight="false" outlineLevel="0" collapsed="false">
      <c r="A8" s="5" t="s">
        <v>494</v>
      </c>
      <c r="B8" s="6" t="s">
        <v>867</v>
      </c>
      <c r="C8" s="6" t="s">
        <v>868</v>
      </c>
      <c r="D8" s="6" t="s">
        <v>869</v>
      </c>
      <c r="E8" s="6" t="s">
        <v>870</v>
      </c>
      <c r="F8" s="7"/>
      <c r="G8" s="7"/>
      <c r="H8" s="7"/>
    </row>
    <row r="9" customFormat="false" ht="15" hidden="false" customHeight="false" outlineLevel="0" collapsed="false">
      <c r="A9" s="5" t="s">
        <v>871</v>
      </c>
      <c r="B9" s="6" t="s">
        <v>872</v>
      </c>
      <c r="C9" s="6" t="s">
        <v>873</v>
      </c>
      <c r="D9" s="6" t="s">
        <v>874</v>
      </c>
      <c r="E9" s="6" t="s">
        <v>875</v>
      </c>
      <c r="F9" s="7"/>
      <c r="G9" s="7"/>
      <c r="H9" s="7"/>
    </row>
    <row r="10" customFormat="false" ht="15" hidden="false" customHeight="false" outlineLevel="0" collapsed="false">
      <c r="A10" s="5" t="s">
        <v>876</v>
      </c>
      <c r="B10" s="6" t="s">
        <v>877</v>
      </c>
      <c r="C10" s="6" t="s">
        <v>878</v>
      </c>
      <c r="D10" s="6" t="s">
        <v>879</v>
      </c>
      <c r="E10" s="6" t="s">
        <v>875</v>
      </c>
      <c r="F10" s="7"/>
      <c r="G10" s="7"/>
      <c r="H10" s="7"/>
    </row>
    <row r="11" customFormat="false" ht="22.35" hidden="false" customHeight="false" outlineLevel="0" collapsed="false">
      <c r="A11" s="5" t="s">
        <v>385</v>
      </c>
      <c r="B11" s="6" t="s">
        <v>880</v>
      </c>
      <c r="C11" s="6" t="s">
        <v>881</v>
      </c>
      <c r="D11" s="6" t="s">
        <v>882</v>
      </c>
      <c r="E11" s="6" t="s">
        <v>883</v>
      </c>
      <c r="F11" s="7"/>
      <c r="G11" s="7"/>
      <c r="H11" s="7"/>
    </row>
    <row r="12" customFormat="false" ht="22.35" hidden="false" customHeight="false" outlineLevel="0" collapsed="false">
      <c r="A12" s="5" t="s">
        <v>471</v>
      </c>
      <c r="B12" s="6" t="s">
        <v>884</v>
      </c>
      <c r="C12" s="6" t="s">
        <v>885</v>
      </c>
      <c r="D12" s="6" t="s">
        <v>886</v>
      </c>
      <c r="E12" s="6" t="s">
        <v>875</v>
      </c>
      <c r="F12" s="7"/>
      <c r="G12" s="7"/>
      <c r="H12" s="7"/>
    </row>
    <row r="13" customFormat="false" ht="15" hidden="false" customHeight="false" outlineLevel="0" collapsed="false">
      <c r="A13" s="5" t="s">
        <v>887</v>
      </c>
      <c r="B13" s="6" t="s">
        <v>888</v>
      </c>
      <c r="C13" s="6" t="s">
        <v>889</v>
      </c>
      <c r="D13" s="6" t="s">
        <v>890</v>
      </c>
      <c r="E13" s="6" t="s">
        <v>891</v>
      </c>
      <c r="F13" s="7"/>
      <c r="G13" s="7"/>
      <c r="H13" s="7"/>
    </row>
    <row r="14" customFormat="false" ht="15" hidden="false" customHeight="false" outlineLevel="0" collapsed="false">
      <c r="A14" s="5" t="s">
        <v>892</v>
      </c>
      <c r="B14" s="6" t="s">
        <v>893</v>
      </c>
      <c r="C14" s="6" t="s">
        <v>894</v>
      </c>
      <c r="D14" s="6" t="s">
        <v>895</v>
      </c>
      <c r="E14" s="6" t="s">
        <v>846</v>
      </c>
      <c r="F14" s="7"/>
      <c r="G14" s="7"/>
      <c r="H14" s="7"/>
    </row>
    <row r="15" customFormat="false" ht="15" hidden="false" customHeight="false" outlineLevel="0" collapsed="false">
      <c r="A15" s="5" t="s">
        <v>896</v>
      </c>
      <c r="B15" s="6" t="s">
        <v>897</v>
      </c>
      <c r="C15" s="6" t="s">
        <v>898</v>
      </c>
      <c r="D15" s="6" t="s">
        <v>899</v>
      </c>
      <c r="E15" s="6" t="s">
        <v>226</v>
      </c>
      <c r="F15" s="7"/>
      <c r="G15" s="7"/>
      <c r="H15" s="7"/>
    </row>
    <row r="16" customFormat="false" ht="15" hidden="false" customHeight="false" outlineLevel="0" collapsed="false">
      <c r="A16" s="5" t="s">
        <v>900</v>
      </c>
      <c r="B16" s="6" t="s">
        <v>901</v>
      </c>
      <c r="C16" s="6" t="s">
        <v>226</v>
      </c>
      <c r="D16" s="6" t="s">
        <v>902</v>
      </c>
      <c r="E16" s="6" t="s">
        <v>875</v>
      </c>
      <c r="F16" s="7"/>
      <c r="G16" s="7"/>
      <c r="H16" s="7"/>
    </row>
    <row r="17" customFormat="false" ht="15" hidden="false" customHeight="false" outlineLevel="0" collapsed="false">
      <c r="A17" s="5" t="s">
        <v>903</v>
      </c>
      <c r="B17" s="6" t="s">
        <v>904</v>
      </c>
      <c r="C17" s="6" t="s">
        <v>905</v>
      </c>
      <c r="D17" s="6" t="s">
        <v>906</v>
      </c>
      <c r="E17" s="6" t="s">
        <v>870</v>
      </c>
      <c r="F17" s="7"/>
      <c r="G17" s="7"/>
      <c r="H17" s="7"/>
    </row>
    <row r="18" customFormat="false" ht="15" hidden="false" customHeight="false" outlineLevel="0" collapsed="false">
      <c r="A18" s="5" t="s">
        <v>907</v>
      </c>
      <c r="B18" s="6" t="s">
        <v>908</v>
      </c>
      <c r="C18" s="6" t="s">
        <v>226</v>
      </c>
      <c r="D18" s="6" t="s">
        <v>909</v>
      </c>
      <c r="E18" s="6" t="s">
        <v>891</v>
      </c>
      <c r="F18" s="7"/>
      <c r="G18" s="7"/>
      <c r="H18" s="7"/>
    </row>
    <row r="19" customFormat="false" ht="22.35" hidden="false" customHeight="false" outlineLevel="0" collapsed="false">
      <c r="A19" s="5" t="s">
        <v>910</v>
      </c>
      <c r="B19" s="6" t="s">
        <v>911</v>
      </c>
      <c r="C19" s="6" t="s">
        <v>912</v>
      </c>
      <c r="D19" s="6" t="s">
        <v>913</v>
      </c>
      <c r="E19" s="6" t="s">
        <v>822</v>
      </c>
      <c r="F19" s="7"/>
      <c r="G19" s="7"/>
      <c r="H19" s="7"/>
    </row>
    <row r="20" customFormat="false" ht="15" hidden="false" customHeight="false" outlineLevel="0" collapsed="false">
      <c r="A20" s="5" t="s">
        <v>914</v>
      </c>
      <c r="B20" s="6" t="s">
        <v>915</v>
      </c>
      <c r="C20" s="6" t="s">
        <v>916</v>
      </c>
      <c r="D20" s="6" t="s">
        <v>917</v>
      </c>
      <c r="E20" s="6" t="s">
        <v>854</v>
      </c>
      <c r="F20" s="7"/>
      <c r="G20" s="7"/>
      <c r="H20" s="7"/>
    </row>
    <row r="21" customFormat="false" ht="15" hidden="false" customHeight="false" outlineLevel="0" collapsed="false">
      <c r="A21" s="5" t="s">
        <v>918</v>
      </c>
      <c r="B21" s="6" t="s">
        <v>919</v>
      </c>
      <c r="C21" s="6" t="s">
        <v>226</v>
      </c>
      <c r="D21" s="6" t="s">
        <v>920</v>
      </c>
      <c r="E21" s="6" t="s">
        <v>921</v>
      </c>
      <c r="F21" s="7"/>
      <c r="G21" s="7"/>
      <c r="H21" s="7"/>
    </row>
  </sheetData>
  <autoFilter ref="A1: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12"/>
    <col collapsed="false" customWidth="true" hidden="false" outlineLevel="0" max="5" min="4" style="0" width="10"/>
    <col collapsed="false" customWidth="true" hidden="false" outlineLevel="0" max="6" min="6" style="0" width="55"/>
    <col collapsed="false" customWidth="true" hidden="false" outlineLevel="0" max="7" min="7" style="0" width="16"/>
    <col collapsed="false" customWidth="true" hidden="false" outlineLevel="0" max="8" min="8" style="0" width="28"/>
  </cols>
  <sheetData>
    <row r="1" customFormat="false" ht="30" hidden="false" customHeight="true" outlineLevel="0" collapsed="false">
      <c r="A1" s="4" t="s">
        <v>13</v>
      </c>
      <c r="B1" s="4" t="s">
        <v>922</v>
      </c>
      <c r="C1" s="4" t="s">
        <v>923</v>
      </c>
      <c r="D1" s="4" t="s">
        <v>924</v>
      </c>
      <c r="E1" s="4" t="s">
        <v>925</v>
      </c>
      <c r="F1" s="4" t="s">
        <v>926</v>
      </c>
      <c r="G1" s="4" t="s">
        <v>22</v>
      </c>
      <c r="H1" s="4" t="s">
        <v>927</v>
      </c>
    </row>
    <row r="2" customFormat="false" ht="22.35" hidden="false" customHeight="false" outlineLevel="0" collapsed="false">
      <c r="A2" s="5" t="s">
        <v>928</v>
      </c>
      <c r="B2" s="6" t="s">
        <v>929</v>
      </c>
      <c r="C2" s="6" t="s">
        <v>930</v>
      </c>
      <c r="D2" s="6" t="s">
        <v>830</v>
      </c>
      <c r="E2" s="6" t="s">
        <v>830</v>
      </c>
      <c r="F2" s="6" t="s">
        <v>931</v>
      </c>
      <c r="G2" s="6" t="s">
        <v>932</v>
      </c>
      <c r="H2" s="6" t="s">
        <v>933</v>
      </c>
    </row>
    <row r="3" customFormat="false" ht="22.35" hidden="false" customHeight="false" outlineLevel="0" collapsed="false">
      <c r="A3" s="5" t="s">
        <v>934</v>
      </c>
      <c r="B3" s="6" t="s">
        <v>935</v>
      </c>
      <c r="C3" s="6" t="s">
        <v>936</v>
      </c>
      <c r="D3" s="6" t="s">
        <v>830</v>
      </c>
      <c r="E3" s="6" t="s">
        <v>937</v>
      </c>
      <c r="F3" s="6" t="s">
        <v>938</v>
      </c>
      <c r="G3" s="6" t="s">
        <v>939</v>
      </c>
      <c r="H3" s="6" t="s">
        <v>940</v>
      </c>
    </row>
    <row r="4" customFormat="false" ht="22.35" hidden="false" customHeight="false" outlineLevel="0" collapsed="false">
      <c r="A4" s="5" t="s">
        <v>941</v>
      </c>
      <c r="B4" s="6" t="s">
        <v>942</v>
      </c>
      <c r="C4" s="6" t="s">
        <v>943</v>
      </c>
      <c r="D4" s="6" t="s">
        <v>937</v>
      </c>
      <c r="E4" s="6" t="s">
        <v>830</v>
      </c>
      <c r="F4" s="6" t="s">
        <v>944</v>
      </c>
      <c r="G4" s="6" t="s">
        <v>945</v>
      </c>
      <c r="H4" s="6" t="s">
        <v>946</v>
      </c>
    </row>
    <row r="5" customFormat="false" ht="22.35" hidden="false" customHeight="false" outlineLevel="0" collapsed="false">
      <c r="A5" s="5" t="s">
        <v>947</v>
      </c>
      <c r="B5" s="6" t="s">
        <v>948</v>
      </c>
      <c r="C5" s="6" t="s">
        <v>949</v>
      </c>
      <c r="D5" s="6" t="s">
        <v>937</v>
      </c>
      <c r="E5" s="6" t="s">
        <v>830</v>
      </c>
      <c r="F5" s="6" t="s">
        <v>950</v>
      </c>
      <c r="G5" s="6" t="s">
        <v>932</v>
      </c>
      <c r="H5" s="6" t="s">
        <v>951</v>
      </c>
    </row>
    <row r="6" customFormat="false" ht="22.35" hidden="false" customHeight="false" outlineLevel="0" collapsed="false">
      <c r="A6" s="5" t="s">
        <v>952</v>
      </c>
      <c r="B6" s="6" t="s">
        <v>953</v>
      </c>
      <c r="C6" s="6" t="s">
        <v>954</v>
      </c>
      <c r="D6" s="6" t="s">
        <v>937</v>
      </c>
      <c r="E6" s="6" t="s">
        <v>830</v>
      </c>
      <c r="F6" s="6" t="s">
        <v>955</v>
      </c>
      <c r="G6" s="6" t="s">
        <v>956</v>
      </c>
      <c r="H6" s="6" t="s">
        <v>957</v>
      </c>
    </row>
    <row r="7" customFormat="false" ht="22.35" hidden="false" customHeight="false" outlineLevel="0" collapsed="false">
      <c r="A7" s="5" t="s">
        <v>958</v>
      </c>
      <c r="B7" s="6" t="s">
        <v>959</v>
      </c>
      <c r="C7" s="6" t="s">
        <v>960</v>
      </c>
      <c r="D7" s="6" t="s">
        <v>830</v>
      </c>
      <c r="E7" s="6" t="s">
        <v>937</v>
      </c>
      <c r="F7" s="6" t="s">
        <v>961</v>
      </c>
      <c r="G7" s="6" t="s">
        <v>956</v>
      </c>
      <c r="H7" s="6" t="s">
        <v>962</v>
      </c>
    </row>
    <row r="8" customFormat="false" ht="22.35" hidden="false" customHeight="false" outlineLevel="0" collapsed="false">
      <c r="A8" s="5" t="s">
        <v>963</v>
      </c>
      <c r="B8" s="6" t="s">
        <v>964</v>
      </c>
      <c r="C8" s="6" t="s">
        <v>965</v>
      </c>
      <c r="D8" s="6" t="s">
        <v>937</v>
      </c>
      <c r="E8" s="6" t="s">
        <v>966</v>
      </c>
      <c r="F8" s="6" t="s">
        <v>967</v>
      </c>
      <c r="G8" s="6" t="s">
        <v>22</v>
      </c>
      <c r="H8" s="6" t="s">
        <v>968</v>
      </c>
    </row>
    <row r="9" customFormat="false" ht="22.35" hidden="false" customHeight="false" outlineLevel="0" collapsed="false">
      <c r="A9" s="5" t="s">
        <v>969</v>
      </c>
      <c r="B9" s="6" t="s">
        <v>970</v>
      </c>
      <c r="C9" s="6" t="s">
        <v>971</v>
      </c>
      <c r="D9" s="6" t="s">
        <v>937</v>
      </c>
      <c r="E9" s="6" t="s">
        <v>830</v>
      </c>
      <c r="F9" s="6" t="s">
        <v>972</v>
      </c>
      <c r="G9" s="6" t="s">
        <v>971</v>
      </c>
      <c r="H9" s="6" t="s">
        <v>973</v>
      </c>
    </row>
    <row r="10" customFormat="false" ht="15" hidden="false" customHeight="false" outlineLevel="0" collapsed="false">
      <c r="A10" s="5" t="s">
        <v>974</v>
      </c>
      <c r="B10" s="6" t="s">
        <v>975</v>
      </c>
      <c r="C10" s="6" t="s">
        <v>971</v>
      </c>
      <c r="D10" s="6" t="s">
        <v>937</v>
      </c>
      <c r="E10" s="6" t="s">
        <v>937</v>
      </c>
      <c r="F10" s="6" t="s">
        <v>976</v>
      </c>
      <c r="G10" s="6" t="s">
        <v>932</v>
      </c>
      <c r="H10" s="6" t="s">
        <v>977</v>
      </c>
    </row>
    <row r="11" customFormat="false" ht="22.35" hidden="false" customHeight="false" outlineLevel="0" collapsed="false">
      <c r="A11" s="5" t="s">
        <v>978</v>
      </c>
      <c r="B11" s="6" t="s">
        <v>979</v>
      </c>
      <c r="C11" s="6" t="s">
        <v>960</v>
      </c>
      <c r="D11" s="6" t="s">
        <v>830</v>
      </c>
      <c r="E11" s="6" t="s">
        <v>937</v>
      </c>
      <c r="F11" s="6" t="s">
        <v>980</v>
      </c>
      <c r="G11" s="6" t="s">
        <v>960</v>
      </c>
      <c r="H11" s="6" t="s">
        <v>981</v>
      </c>
    </row>
    <row r="12" customFormat="false" ht="15" hidden="false" customHeight="false" outlineLevel="0" collapsed="false">
      <c r="A12" s="5" t="s">
        <v>982</v>
      </c>
      <c r="B12" s="6" t="s">
        <v>983</v>
      </c>
      <c r="C12" s="6" t="s">
        <v>984</v>
      </c>
      <c r="D12" s="6" t="s">
        <v>937</v>
      </c>
      <c r="E12" s="6" t="s">
        <v>830</v>
      </c>
      <c r="F12" s="6" t="s">
        <v>985</v>
      </c>
      <c r="G12" s="6" t="s">
        <v>986</v>
      </c>
      <c r="H12" s="6" t="s">
        <v>987</v>
      </c>
    </row>
    <row r="13" customFormat="false" ht="15" hidden="false" customHeight="false" outlineLevel="0" collapsed="false">
      <c r="A13" s="5" t="s">
        <v>988</v>
      </c>
      <c r="B13" s="6" t="s">
        <v>989</v>
      </c>
      <c r="C13" s="6" t="s">
        <v>990</v>
      </c>
      <c r="D13" s="6" t="s">
        <v>937</v>
      </c>
      <c r="E13" s="6" t="s">
        <v>937</v>
      </c>
      <c r="F13" s="6" t="s">
        <v>991</v>
      </c>
      <c r="G13" s="6" t="s">
        <v>945</v>
      </c>
      <c r="H13" s="6" t="s">
        <v>992</v>
      </c>
    </row>
    <row r="14" customFormat="false" ht="32.8" hidden="false" customHeight="false" outlineLevel="0" collapsed="false">
      <c r="A14" s="5" t="s">
        <v>993</v>
      </c>
      <c r="B14" s="6" t="s">
        <v>994</v>
      </c>
      <c r="C14" s="6" t="s">
        <v>995</v>
      </c>
      <c r="D14" s="6" t="s">
        <v>996</v>
      </c>
      <c r="E14" s="6" t="s">
        <v>937</v>
      </c>
      <c r="F14" s="6" t="s">
        <v>997</v>
      </c>
      <c r="G14" s="6" t="s">
        <v>939</v>
      </c>
      <c r="H14" s="6" t="s">
        <v>226</v>
      </c>
    </row>
    <row r="15" customFormat="false" ht="15" hidden="false" customHeight="false" outlineLevel="0" collapsed="false">
      <c r="A15" s="5" t="s">
        <v>998</v>
      </c>
      <c r="B15" s="6" t="s">
        <v>999</v>
      </c>
      <c r="C15" s="6" t="s">
        <v>564</v>
      </c>
      <c r="D15" s="6" t="s">
        <v>937</v>
      </c>
      <c r="E15" s="6" t="s">
        <v>937</v>
      </c>
      <c r="F15" s="6" t="s">
        <v>1000</v>
      </c>
      <c r="G15" s="6" t="s">
        <v>564</v>
      </c>
      <c r="H15" s="6" t="s">
        <v>226</v>
      </c>
    </row>
    <row r="16" customFormat="false" ht="15" hidden="false" customHeight="false" outlineLevel="0" collapsed="false">
      <c r="A16" s="5" t="s">
        <v>1001</v>
      </c>
      <c r="B16" s="6" t="s">
        <v>1002</v>
      </c>
      <c r="C16" s="6" t="s">
        <v>1003</v>
      </c>
      <c r="D16" s="6" t="s">
        <v>829</v>
      </c>
      <c r="E16" s="6" t="s">
        <v>937</v>
      </c>
      <c r="F16" s="6" t="s">
        <v>1004</v>
      </c>
      <c r="G16" s="6" t="s">
        <v>945</v>
      </c>
      <c r="H16" s="6" t="s">
        <v>226</v>
      </c>
    </row>
  </sheetData>
  <autoFilter ref="A1:H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2026-10-23T09:08:50Z</dcterms:created>
  <dc:creator>openpyxl</dc:creator>
  <dc:description/>
  <dc:language>en-US</dc:language>
  <cp:lastModifiedBy/>
  <dcterms:modified xsi:type="dcterms:W3CDTF">2026-10-23T09:08:50Z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